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工作文件夹\6_加实验\P837-加实验\加实验资料\"/>
    </mc:Choice>
  </mc:AlternateContent>
  <xr:revisionPtr revIDLastSave="0" documentId="13_ncr:1_{E44F20D8-9EB6-496C-95AE-95CD2293D258}" xr6:coauthVersionLast="36" xr6:coauthVersionMax="47" xr10:uidLastSave="{00000000-0000-0000-0000-000000000000}"/>
  <bookViews>
    <workbookView xWindow="16215" yWindow="270" windowWidth="13035" windowHeight="15120" tabRatio="808" firstSheet="6" activeTab="13" xr2:uid="{00000000-000D-0000-FFFF-FFFF00000000}"/>
  </bookViews>
  <sheets>
    <sheet name="result_7A" sheetId="1" r:id="rId1"/>
    <sheet name="raw data_7A" sheetId="2" r:id="rId2"/>
    <sheet name="result_7B" sheetId="14" r:id="rId3"/>
    <sheet name="raw data_7B" sheetId="15" r:id="rId4"/>
    <sheet name="result_7C" sheetId="16" r:id="rId5"/>
    <sheet name="raw data_7C" sheetId="18" r:id="rId6"/>
    <sheet name="CCK8 result_7D" sheetId="8" r:id="rId7"/>
    <sheet name="CCK8 raw data_7D" sheetId="7" r:id="rId8"/>
    <sheet name="CCK8 result_7E" sheetId="10" r:id="rId9"/>
    <sheet name="CCK8 raw data_7E" sheetId="11" r:id="rId10"/>
    <sheet name="wound_7F" sheetId="4" r:id="rId11"/>
    <sheet name="invasion_7G" sheetId="3" r:id="rId12"/>
    <sheet name="wound_7H" sheetId="12" r:id="rId13"/>
    <sheet name="invasion_7I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6" l="1"/>
  <c r="F10" i="16" s="1"/>
  <c r="D9" i="16"/>
  <c r="F9" i="16" s="1"/>
  <c r="D8" i="16"/>
  <c r="F8" i="16" s="1"/>
  <c r="D7" i="16"/>
  <c r="F7" i="16" s="1"/>
  <c r="D6" i="16"/>
  <c r="F6" i="16" s="1"/>
  <c r="D5" i="16"/>
  <c r="F5" i="16" s="1"/>
  <c r="D4" i="16"/>
  <c r="F4" i="16" s="1"/>
  <c r="D3" i="16"/>
  <c r="F3" i="16" s="1"/>
  <c r="D2" i="16"/>
  <c r="F2" i="16" s="1"/>
  <c r="G2" i="16" l="1"/>
  <c r="G3" i="16" s="1"/>
  <c r="G4" i="16" s="1"/>
  <c r="G5" i="16" s="1"/>
  <c r="G6" i="16" s="1"/>
  <c r="G7" i="16" s="1"/>
  <c r="G8" i="16" s="1"/>
  <c r="G9" i="16" s="1"/>
  <c r="G10" i="16" s="1"/>
  <c r="H10" i="16" s="1"/>
  <c r="I10" i="16" s="1"/>
  <c r="D10" i="14"/>
  <c r="F10" i="14" s="1"/>
  <c r="D9" i="14"/>
  <c r="F9" i="14" s="1"/>
  <c r="D8" i="14"/>
  <c r="F8" i="14" s="1"/>
  <c r="D7" i="14"/>
  <c r="F7" i="14" s="1"/>
  <c r="D6" i="14"/>
  <c r="F6" i="14" s="1"/>
  <c r="D5" i="14"/>
  <c r="F5" i="14" s="1"/>
  <c r="D4" i="14"/>
  <c r="F4" i="14" s="1"/>
  <c r="D3" i="14"/>
  <c r="F3" i="14" s="1"/>
  <c r="D2" i="14"/>
  <c r="F2" i="14" s="1"/>
  <c r="H4" i="12"/>
  <c r="H3" i="12"/>
  <c r="J2" i="12"/>
  <c r="H7" i="12" s="1"/>
  <c r="I7" i="12" s="1"/>
  <c r="H2" i="12"/>
  <c r="C2" i="12"/>
  <c r="C7" i="12" s="1"/>
  <c r="D7" i="12" s="1"/>
  <c r="B33" i="10"/>
  <c r="D36" i="10" s="1"/>
  <c r="H42" i="10" s="1"/>
  <c r="B23" i="10"/>
  <c r="C24" i="10" s="1"/>
  <c r="C41" i="10" s="1"/>
  <c r="B14" i="10"/>
  <c r="D17" i="10" s="1"/>
  <c r="H40" i="10" s="1"/>
  <c r="B5" i="10"/>
  <c r="D7" i="10" s="1"/>
  <c r="G39" i="10" s="1"/>
  <c r="H6" i="16" l="1"/>
  <c r="I6" i="16" s="1"/>
  <c r="H5" i="16"/>
  <c r="I5" i="16" s="1"/>
  <c r="H7" i="16"/>
  <c r="I7" i="16" s="1"/>
  <c r="H4" i="16"/>
  <c r="I4" i="16" s="1"/>
  <c r="H8" i="16"/>
  <c r="I8" i="16" s="1"/>
  <c r="H3" i="16"/>
  <c r="I3" i="16" s="1"/>
  <c r="H9" i="16"/>
  <c r="I9" i="16" s="1"/>
  <c r="H2" i="16"/>
  <c r="I2" i="16" s="1"/>
  <c r="G2" i="14"/>
  <c r="G3" i="14" s="1"/>
  <c r="G4" i="14" s="1"/>
  <c r="G5" i="14" s="1"/>
  <c r="G6" i="14" s="1"/>
  <c r="G7" i="14" s="1"/>
  <c r="G8" i="14" s="1"/>
  <c r="G9" i="14" s="1"/>
  <c r="G10" i="14" s="1"/>
  <c r="H10" i="14" s="1"/>
  <c r="I10" i="14" s="1"/>
  <c r="C8" i="10"/>
  <c r="E39" i="10" s="1"/>
  <c r="D8" i="10"/>
  <c r="H39" i="10" s="1"/>
  <c r="H5" i="12"/>
  <c r="I5" i="12" s="1"/>
  <c r="C5" i="12"/>
  <c r="D5" i="12" s="1"/>
  <c r="C6" i="12"/>
  <c r="D6" i="12" s="1"/>
  <c r="H6" i="12"/>
  <c r="I6" i="12" s="1"/>
  <c r="D24" i="10"/>
  <c r="F41" i="10" s="1"/>
  <c r="C25" i="10"/>
  <c r="D41" i="10" s="1"/>
  <c r="D25" i="10"/>
  <c r="G41" i="10" s="1"/>
  <c r="C26" i="10"/>
  <c r="E41" i="10" s="1"/>
  <c r="D6" i="10"/>
  <c r="F39" i="10" s="1"/>
  <c r="C6" i="10"/>
  <c r="C39" i="10" s="1"/>
  <c r="C7" i="10"/>
  <c r="D39" i="10" s="1"/>
  <c r="C15" i="10"/>
  <c r="C40" i="10" s="1"/>
  <c r="D26" i="10"/>
  <c r="H41" i="10" s="1"/>
  <c r="D15" i="10"/>
  <c r="F40" i="10" s="1"/>
  <c r="C16" i="10"/>
  <c r="D40" i="10" s="1"/>
  <c r="C34" i="10"/>
  <c r="C42" i="10" s="1"/>
  <c r="D16" i="10"/>
  <c r="G40" i="10" s="1"/>
  <c r="D34" i="10"/>
  <c r="F42" i="10" s="1"/>
  <c r="C17" i="10"/>
  <c r="E40" i="10" s="1"/>
  <c r="C35" i="10"/>
  <c r="D42" i="10" s="1"/>
  <c r="D35" i="10"/>
  <c r="G42" i="10" s="1"/>
  <c r="C36" i="10"/>
  <c r="E42" i="10" s="1"/>
  <c r="H2" i="14" l="1"/>
  <c r="I2" i="14" s="1"/>
  <c r="H4" i="14"/>
  <c r="I4" i="14" s="1"/>
  <c r="H7" i="14"/>
  <c r="I7" i="14" s="1"/>
  <c r="H6" i="14"/>
  <c r="I6" i="14" s="1"/>
  <c r="H5" i="14"/>
  <c r="I5" i="14" s="1"/>
  <c r="H8" i="14"/>
  <c r="I8" i="14" s="1"/>
  <c r="H3" i="14"/>
  <c r="I3" i="14" s="1"/>
  <c r="H9" i="14"/>
  <c r="I9" i="14" s="1"/>
  <c r="B33" i="8"/>
  <c r="D36" i="8" s="1"/>
  <c r="H42" i="8" s="1"/>
  <c r="B23" i="8"/>
  <c r="D24" i="8" s="1"/>
  <c r="F41" i="8" s="1"/>
  <c r="B14" i="8"/>
  <c r="C16" i="8" s="1"/>
  <c r="D40" i="8" s="1"/>
  <c r="B5" i="8"/>
  <c r="D7" i="8" s="1"/>
  <c r="G39" i="8" s="1"/>
  <c r="C34" i="8" l="1"/>
  <c r="C42" i="8" s="1"/>
  <c r="C25" i="8"/>
  <c r="D41" i="8" s="1"/>
  <c r="D25" i="8"/>
  <c r="G41" i="8" s="1"/>
  <c r="C15" i="8"/>
  <c r="C40" i="8" s="1"/>
  <c r="C8" i="8"/>
  <c r="E39" i="8" s="1"/>
  <c r="D8" i="8"/>
  <c r="H39" i="8" s="1"/>
  <c r="C26" i="8"/>
  <c r="E41" i="8" s="1"/>
  <c r="D26" i="8"/>
  <c r="H41" i="8" s="1"/>
  <c r="D15" i="8"/>
  <c r="F40" i="8" s="1"/>
  <c r="C17" i="8"/>
  <c r="E40" i="8" s="1"/>
  <c r="C6" i="8"/>
  <c r="C39" i="8" s="1"/>
  <c r="C36" i="8"/>
  <c r="E42" i="8" s="1"/>
  <c r="D16" i="8"/>
  <c r="G40" i="8" s="1"/>
  <c r="D34" i="8"/>
  <c r="F42" i="8" s="1"/>
  <c r="C35" i="8"/>
  <c r="D42" i="8" s="1"/>
  <c r="D17" i="8"/>
  <c r="H40" i="8" s="1"/>
  <c r="D35" i="8"/>
  <c r="G42" i="8" s="1"/>
  <c r="D6" i="8"/>
  <c r="F39" i="8" s="1"/>
  <c r="C7" i="8"/>
  <c r="D39" i="8" s="1"/>
  <c r="C24" i="8"/>
  <c r="C41" i="8" s="1"/>
  <c r="H4" i="4" l="1"/>
  <c r="H3" i="4"/>
  <c r="J2" i="4"/>
  <c r="H6" i="4" s="1"/>
  <c r="I6" i="4" s="1"/>
  <c r="H2" i="4"/>
  <c r="C2" i="4"/>
  <c r="C5" i="4" s="1"/>
  <c r="D5" i="4" s="1"/>
  <c r="D10" i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H7" i="4" l="1"/>
  <c r="I7" i="4" s="1"/>
  <c r="C6" i="4"/>
  <c r="D6" i="4" s="1"/>
  <c r="H5" i="4"/>
  <c r="I5" i="4" s="1"/>
  <c r="C7" i="4"/>
  <c r="D7" i="4" s="1"/>
  <c r="G2" i="1"/>
  <c r="G3" i="1" s="1"/>
  <c r="G4" i="1" s="1"/>
  <c r="G5" i="1" s="1"/>
  <c r="G6" i="1" s="1"/>
  <c r="G7" i="1" s="1"/>
  <c r="H7" i="1" l="1"/>
  <c r="I7" i="1" s="1"/>
  <c r="G8" i="1"/>
  <c r="G9" i="1" s="1"/>
  <c r="G10" i="1" s="1"/>
  <c r="H10" i="1" s="1"/>
  <c r="I10" i="1" s="1"/>
  <c r="H6" i="1"/>
  <c r="I6" i="1" s="1"/>
  <c r="H3" i="1"/>
  <c r="I3" i="1" s="1"/>
  <c r="H5" i="1"/>
  <c r="I5" i="1" s="1"/>
  <c r="H2" i="1"/>
  <c r="I2" i="1" s="1"/>
  <c r="H4" i="1"/>
  <c r="I4" i="1" s="1"/>
  <c r="H9" i="1" l="1"/>
  <c r="I9" i="1" s="1"/>
  <c r="H8" i="1"/>
  <c r="I8" i="1" s="1"/>
</calcChain>
</file>

<file path=xl/sharedStrings.xml><?xml version="1.0" encoding="utf-8"?>
<sst xmlns="http://schemas.openxmlformats.org/spreadsheetml/2006/main" count="425" uniqueCount="69">
  <si>
    <t xml:space="preserve">Cq   </t>
  </si>
  <si>
    <t>Cq Mean</t>
  </si>
  <si>
    <t>target gene</t>
  </si>
  <si>
    <t>expression</t>
  </si>
  <si>
    <t>GAPDH</t>
  </si>
  <si>
    <t>A01</t>
  </si>
  <si>
    <t>FAM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</si>
  <si>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</si>
  <si>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</si>
  <si>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</si>
  <si>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</si>
  <si>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</si>
  <si>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</si>
  <si>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</si>
  <si>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</si>
  <si>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</si>
  <si>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</si>
  <si>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</si>
  <si>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</si>
  <si>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</si>
  <si>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</si>
  <si>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</si>
  <si>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</si>
  <si>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</si>
  <si>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</si>
  <si>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</si>
  <si>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</si>
  <si>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Hole</t>
    <phoneticPr fontId="1" type="noConversion"/>
  </si>
  <si>
    <t>Channel</t>
    <phoneticPr fontId="1" type="noConversion"/>
  </si>
  <si>
    <t>CT</t>
    <phoneticPr fontId="1" type="noConversion"/>
  </si>
  <si>
    <t>TM</t>
    <phoneticPr fontId="1" type="noConversion"/>
  </si>
  <si>
    <t>Target gene</t>
    <phoneticPr fontId="1" type="noConversion"/>
  </si>
  <si>
    <t>Sample name</t>
  </si>
  <si>
    <t>si-NC</t>
    <phoneticPr fontId="1" type="noConversion"/>
  </si>
  <si>
    <t>Invasion</t>
    <phoneticPr fontId="1" type="noConversion"/>
  </si>
  <si>
    <t>blank area</t>
    <phoneticPr fontId="1" type="noConversion"/>
  </si>
  <si>
    <t>Migration rate%</t>
    <phoneticPr fontId="1" type="noConversion"/>
  </si>
  <si>
    <t>si-NC</t>
  </si>
  <si>
    <t>Blank</t>
  </si>
  <si>
    <t>A</t>
  </si>
  <si>
    <t>B</t>
  </si>
  <si>
    <t>C</t>
  </si>
  <si>
    <t>D</t>
  </si>
  <si>
    <t>E</t>
  </si>
  <si>
    <t>F</t>
  </si>
  <si>
    <t>G</t>
  </si>
  <si>
    <t>H</t>
  </si>
  <si>
    <t>Blank</t>
    <phoneticPr fontId="7" type="noConversion"/>
  </si>
  <si>
    <t>0h</t>
    <phoneticPr fontId="1" type="noConversion"/>
  </si>
  <si>
    <t>24h</t>
    <phoneticPr fontId="1" type="noConversion"/>
  </si>
  <si>
    <t>48h</t>
    <phoneticPr fontId="1" type="noConversion"/>
  </si>
  <si>
    <t>72h</t>
    <phoneticPr fontId="1" type="noConversion"/>
  </si>
  <si>
    <t>OD450</t>
    <phoneticPr fontId="1" type="noConversion"/>
  </si>
  <si>
    <t>48h</t>
  </si>
  <si>
    <t>72h</t>
  </si>
  <si>
    <t>Whitespace removal</t>
    <phoneticPr fontId="1" type="noConversion"/>
  </si>
  <si>
    <t>A09</t>
    <phoneticPr fontId="1" type="noConversion"/>
  </si>
  <si>
    <t>B01</t>
    <phoneticPr fontId="1" type="noConversion"/>
  </si>
  <si>
    <t>BEAS-2B</t>
  </si>
  <si>
    <t>A549</t>
  </si>
  <si>
    <t>A549</t>
    <phoneticPr fontId="1" type="noConversion"/>
  </si>
  <si>
    <t>NCI-H838</t>
  </si>
  <si>
    <t>NCI-H838</t>
    <phoneticPr fontId="1" type="noConversion"/>
  </si>
  <si>
    <t>CBFA2T3</t>
  </si>
  <si>
    <t>CBFA2T3</t>
    <phoneticPr fontId="1" type="noConversion"/>
  </si>
  <si>
    <t>si-CBFA2T3#1</t>
  </si>
  <si>
    <t>si-CBFA2T3#1</t>
    <phoneticPr fontId="1" type="noConversion"/>
  </si>
  <si>
    <t>si-CBFA2T3#2</t>
  </si>
  <si>
    <t>NCI-H838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</si>
</sst>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##0.00;\-###0.00"/>
    <numFmt numFmtId="178" formatCode="0.0000"/>
  </numFmts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.25"/>
      <name val="Microsoft Sans Serif"/>
      <family val="2"/>
    </font>
    <font>
      <b/>
      <sz val="8.25"/>
      <name val="Microsoft Sans Serif"/>
      <family val="2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b/>
      <sz val="10"/>
      <name val="Arial"/>
      <family val="2"/>
    </font>
    <font>
      <b/>
      <sz val="11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>
      <alignment vertical="top"/>
      <protection locked="0"/>
    </xf>
    <xf numFmtId="9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/>
  </cellStyleXfs>
  <cellXfs count="25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7" fontId="3" fillId="0" borderId="0" xfId="1" applyNumberFormat="1" applyFont="1" applyAlignment="1" applyProtection="1">
      <alignment horizontal="center" vertical="center"/>
    </xf>
    <xf numFmtId="9" fontId="0" fillId="0" borderId="0" xfId="2" applyFont="1" applyAlignment="1"/>
    <xf numFmtId="0" fontId="6" fillId="0" borderId="0" xfId="3" applyFont="1">
      <alignment vertical="center"/>
    </xf>
    <xf numFmtId="0" fontId="6" fillId="2" borderId="0" xfId="3" applyFont="1" applyFill="1">
      <alignment vertical="center"/>
    </xf>
    <xf numFmtId="0" fontId="6" fillId="3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5" borderId="0" xfId="3" applyFont="1" applyFill="1">
      <alignment vertical="center"/>
    </xf>
    <xf numFmtId="0" fontId="6" fillId="0" borderId="0" xfId="4" applyFont="1"/>
    <xf numFmtId="0" fontId="6" fillId="0" borderId="0" xfId="4" applyFont="1" applyAlignment="1">
      <alignment horizontal="center"/>
    </xf>
    <xf numFmtId="0" fontId="8" fillId="0" borderId="0" xfId="4" applyFont="1"/>
    <xf numFmtId="0" fontId="9" fillId="0" borderId="0" xfId="4" applyFont="1"/>
    <xf numFmtId="0" fontId="10" fillId="0" borderId="0" xfId="0" applyFont="1"/>
    <xf numFmtId="178" fontId="6" fillId="0" borderId="0" xfId="4" applyNumberFormat="1" applyFont="1"/>
    <xf numFmtId="178" fontId="11" fillId="0" borderId="0" xfId="4" applyNumberFormat="1" applyFont="1"/>
    <xf numFmtId="9" fontId="10" fillId="0" borderId="0" xfId="2" applyFont="1" applyAlignment="1"/>
    <xf numFmtId="0" fontId="12" fillId="0" borderId="0" xfId="0" applyFont="1"/>
    <xf numFmtId="177" fontId="13" fillId="0" borderId="0" xfId="1" applyNumberFormat="1" applyFont="1" applyAlignment="1" applyProtection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4" applyFont="1" applyAlignment="1">
      <alignment horizontal="center"/>
    </xf>
    <xf numFmtId="0" fontId="6" fillId="0" borderId="0" xfId="3" applyFont="1" applyAlignment="1">
      <alignment horizontal="center" vertical="center"/>
    </xf>
  </cellXfs>
  <cellStyles count="5">
    <cellStyle name="Normal" xfId="1" xr:uid="{35383C33-3018-4BD8-819F-013AC27CEC6B}"/>
    <cellStyle name="百分比" xfId="2" builtinId="5"/>
    <cellStyle name="常规" xfId="0" builtinId="0"/>
    <cellStyle name="常规 2" xfId="3" xr:uid="{17429E47-C733-427F-A13B-F9927498ACAA}"/>
    <cellStyle name="常规 2 2" xfId="4" xr:uid="{77206542-0E71-4D58-8786-F0160FA63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workbookViewId="0">
      <selection activeCell="J2" sqref="J2:J10"/>
    </sheetView>
  </sheetViews>
  <sheetFormatPr defaultRowHeight="14.25" x14ac:dyDescent="0.2"/>
  <cols>
    <col min="1" max="1" width="11.75" bestFit="1" customWidth="1"/>
    <col min="9" max="9" width="12.875" style="15" customWidth="1"/>
  </cols>
  <sheetData>
    <row r="1" spans="1:16" s="2" customFormat="1" x14ac:dyDescent="0.2">
      <c r="A1"/>
      <c r="B1"/>
      <c r="C1" s="1" t="s">
        <v>0</v>
      </c>
      <c r="D1" s="1" t="s">
        <v>1</v>
      </c>
      <c r="E1" s="2" t="s">
        <v>2</v>
      </c>
      <c r="F1"/>
      <c r="G1"/>
      <c r="H1"/>
      <c r="I1" s="15" t="s">
        <v>3</v>
      </c>
      <c r="L1" s="20"/>
      <c r="M1" s="20"/>
      <c r="N1" s="20"/>
      <c r="O1" s="20"/>
      <c r="P1" s="20"/>
    </row>
    <row r="2" spans="1:16" s="2" customFormat="1" x14ac:dyDescent="0.2">
      <c r="A2" s="2" t="s">
        <v>58</v>
      </c>
      <c r="B2" t="s">
        <v>4</v>
      </c>
      <c r="C2" s="2">
        <v>17.239999999999998</v>
      </c>
      <c r="D2" s="1">
        <f>AVERAGE(C2:C4)</f>
        <v>17.153333333333336</v>
      </c>
      <c r="E2" s="2">
        <v>30.8</v>
      </c>
      <c r="F2" s="1">
        <f>E2-D2</f>
        <v>13.646666666666665</v>
      </c>
      <c r="G2" s="1">
        <f>AVERAGE(F2:F4)</f>
        <v>13.61333333333333</v>
      </c>
      <c r="H2" s="1">
        <f>F2-G2</f>
        <v>3.3333333333334991E-2</v>
      </c>
      <c r="I2" s="15">
        <f>POWER(2,-H2)</f>
        <v>0.9771599684342448</v>
      </c>
      <c r="J2" s="22" t="s">
        <v>64</v>
      </c>
      <c r="N2" s="20"/>
      <c r="O2" s="20"/>
      <c r="P2" s="20"/>
    </row>
    <row r="3" spans="1:16" s="2" customFormat="1" x14ac:dyDescent="0.2">
      <c r="A3" s="2" t="s">
        <v>58</v>
      </c>
      <c r="B3" t="s">
        <v>4</v>
      </c>
      <c r="C3" s="2">
        <v>17.100000000000001</v>
      </c>
      <c r="D3" s="1">
        <f>AVERAGE(C2:C4)</f>
        <v>17.153333333333336</v>
      </c>
      <c r="E3" s="2">
        <v>30.95</v>
      </c>
      <c r="F3" s="1">
        <f t="shared" ref="F3:F7" si="0">E3-D3</f>
        <v>13.796666666666663</v>
      </c>
      <c r="G3" s="1">
        <f>G2</f>
        <v>13.61333333333333</v>
      </c>
      <c r="H3" s="1">
        <f t="shared" ref="H3:H7" si="1">F3-G3</f>
        <v>0.18333333333333357</v>
      </c>
      <c r="I3" s="15">
        <f t="shared" ref="I3:I7" si="2">POWER(2,-H3)</f>
        <v>0.88066587359614834</v>
      </c>
      <c r="J3" s="22"/>
      <c r="N3" s="20"/>
      <c r="O3" s="20"/>
      <c r="P3" s="20"/>
    </row>
    <row r="4" spans="1:16" s="2" customFormat="1" x14ac:dyDescent="0.2">
      <c r="A4" s="2" t="s">
        <v>58</v>
      </c>
      <c r="B4" t="s">
        <v>4</v>
      </c>
      <c r="C4" s="2">
        <v>17.12</v>
      </c>
      <c r="D4" s="1">
        <f>AVERAGE(C2:C4)</f>
        <v>17.153333333333336</v>
      </c>
      <c r="E4" s="2">
        <v>30.55</v>
      </c>
      <c r="F4" s="1">
        <f t="shared" si="0"/>
        <v>13.396666666666665</v>
      </c>
      <c r="G4" s="1">
        <f t="shared" ref="G4:G10" si="3">G3</f>
        <v>13.61333333333333</v>
      </c>
      <c r="H4" s="1">
        <f t="shared" si="1"/>
        <v>-0.21666666666666501</v>
      </c>
      <c r="I4" s="15">
        <f t="shared" si="2"/>
        <v>1.1620455869578383</v>
      </c>
      <c r="J4" s="22"/>
      <c r="N4" s="20"/>
      <c r="O4" s="20"/>
      <c r="P4" s="20"/>
    </row>
    <row r="5" spans="1:16" s="2" customFormat="1" x14ac:dyDescent="0.2">
      <c r="A5" s="21" t="s">
        <v>60</v>
      </c>
      <c r="B5" t="s">
        <v>4</v>
      </c>
      <c r="C5" s="2">
        <v>17.100000000000001</v>
      </c>
      <c r="D5" s="1">
        <f>AVERAGE(C5:C7)</f>
        <v>17.196666666666669</v>
      </c>
      <c r="E5" s="2">
        <v>29.3</v>
      </c>
      <c r="F5" s="1">
        <f t="shared" si="0"/>
        <v>12.103333333333332</v>
      </c>
      <c r="G5" s="1">
        <f t="shared" si="3"/>
        <v>13.61333333333333</v>
      </c>
      <c r="H5" s="1">
        <f t="shared" si="1"/>
        <v>-1.509999999999998</v>
      </c>
      <c r="I5" s="15">
        <f t="shared" si="2"/>
        <v>2.8481003911941394</v>
      </c>
      <c r="J5" s="22"/>
      <c r="L5" s="20"/>
      <c r="M5" s="20"/>
      <c r="N5" s="20"/>
      <c r="O5" s="20"/>
      <c r="P5" s="20"/>
    </row>
    <row r="6" spans="1:16" s="2" customFormat="1" x14ac:dyDescent="0.2">
      <c r="A6" s="21" t="s">
        <v>60</v>
      </c>
      <c r="B6" t="s">
        <v>4</v>
      </c>
      <c r="C6" s="2">
        <v>17.23</v>
      </c>
      <c r="D6" s="1">
        <f>AVERAGE(C5:C7)</f>
        <v>17.196666666666669</v>
      </c>
      <c r="E6" s="2">
        <v>29.46</v>
      </c>
      <c r="F6" s="1">
        <f t="shared" si="0"/>
        <v>12.263333333333332</v>
      </c>
      <c r="G6" s="1">
        <f t="shared" si="3"/>
        <v>13.61333333333333</v>
      </c>
      <c r="H6" s="1">
        <f t="shared" si="1"/>
        <v>-1.3499999999999979</v>
      </c>
      <c r="I6" s="15">
        <f t="shared" si="2"/>
        <v>2.5491212546385205</v>
      </c>
      <c r="J6" s="22"/>
      <c r="L6" s="20"/>
      <c r="M6" s="20"/>
      <c r="N6" s="20"/>
      <c r="O6" s="20"/>
      <c r="P6" s="20"/>
    </row>
    <row r="7" spans="1:16" s="2" customFormat="1" x14ac:dyDescent="0.2">
      <c r="A7" s="21" t="s">
        <v>60</v>
      </c>
      <c r="B7" t="s">
        <v>4</v>
      </c>
      <c r="C7" s="2">
        <v>17.260000000000002</v>
      </c>
      <c r="D7" s="1">
        <f>AVERAGE(C5:C7)</f>
        <v>17.196666666666669</v>
      </c>
      <c r="E7" s="2">
        <v>29.97</v>
      </c>
      <c r="F7" s="1">
        <f t="shared" si="0"/>
        <v>12.77333333333333</v>
      </c>
      <c r="G7" s="1">
        <f t="shared" si="3"/>
        <v>13.61333333333333</v>
      </c>
      <c r="H7" s="1">
        <f t="shared" si="1"/>
        <v>-0.83999999999999986</v>
      </c>
      <c r="I7" s="15">
        <f t="shared" si="2"/>
        <v>1.7900501418559447</v>
      </c>
      <c r="J7" s="22"/>
      <c r="L7" s="20"/>
      <c r="M7" s="20"/>
      <c r="N7" s="20"/>
      <c r="O7" s="20"/>
    </row>
    <row r="8" spans="1:16" s="2" customFormat="1" x14ac:dyDescent="0.2">
      <c r="A8" s="2" t="s">
        <v>61</v>
      </c>
      <c r="B8" t="s">
        <v>4</v>
      </c>
      <c r="C8" s="2">
        <v>17.02</v>
      </c>
      <c r="D8" s="1">
        <f>AVERAGE(C8:C10)</f>
        <v>17.09</v>
      </c>
      <c r="E8" s="2">
        <v>29.21</v>
      </c>
      <c r="F8" s="1">
        <f>E8-D8</f>
        <v>12.120000000000001</v>
      </c>
      <c r="G8" s="1">
        <f>G7</f>
        <v>13.61333333333333</v>
      </c>
      <c r="H8" s="1">
        <f>F8-G8</f>
        <v>-1.4933333333333287</v>
      </c>
      <c r="I8" s="15">
        <f>POWER(2,-H8)</f>
        <v>2.8153871680679701</v>
      </c>
      <c r="J8" s="22"/>
      <c r="M8" s="20"/>
      <c r="N8" s="20"/>
      <c r="O8" s="20"/>
    </row>
    <row r="9" spans="1:16" s="2" customFormat="1" x14ac:dyDescent="0.2">
      <c r="A9" s="2" t="s">
        <v>61</v>
      </c>
      <c r="B9" t="s">
        <v>4</v>
      </c>
      <c r="C9" s="2">
        <v>17.190000000000001</v>
      </c>
      <c r="D9" s="1">
        <f>AVERAGE(C8:C10)</f>
        <v>17.09</v>
      </c>
      <c r="E9" s="2">
        <v>29.68</v>
      </c>
      <c r="F9" s="1">
        <f t="shared" ref="F9:F10" si="4">E9-D9</f>
        <v>12.59</v>
      </c>
      <c r="G9" s="1">
        <f t="shared" si="3"/>
        <v>13.61333333333333</v>
      </c>
      <c r="H9" s="1">
        <f t="shared" ref="H9:H10" si="5">F9-G9</f>
        <v>-1.0233333333333299</v>
      </c>
      <c r="I9" s="15">
        <f t="shared" ref="I9:I10" si="6">POWER(2,-H9)</f>
        <v>2.0326098643363726</v>
      </c>
      <c r="J9" s="22"/>
      <c r="M9" s="20"/>
      <c r="N9" s="20"/>
      <c r="O9" s="20"/>
    </row>
    <row r="10" spans="1:16" s="2" customFormat="1" x14ac:dyDescent="0.2">
      <c r="A10" s="2" t="s">
        <v>61</v>
      </c>
      <c r="B10" t="s">
        <v>4</v>
      </c>
      <c r="C10" s="2">
        <v>17.059999999999999</v>
      </c>
      <c r="D10" s="1">
        <f>AVERAGE(C8:C10)</f>
        <v>17.09</v>
      </c>
      <c r="E10" s="2">
        <v>29.06</v>
      </c>
      <c r="F10" s="1">
        <f t="shared" si="4"/>
        <v>11.969999999999999</v>
      </c>
      <c r="G10" s="1">
        <f t="shared" si="3"/>
        <v>13.61333333333333</v>
      </c>
      <c r="H10" s="1">
        <f t="shared" si="5"/>
        <v>-1.6433333333333309</v>
      </c>
      <c r="I10" s="15">
        <f t="shared" si="6"/>
        <v>3.1238676537397674</v>
      </c>
      <c r="J10" s="22"/>
      <c r="M10" s="20"/>
      <c r="N10" s="20"/>
      <c r="O10" s="20"/>
    </row>
  </sheetData>
  <mergeCells count="1">
    <mergeCell ref="J2:J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F35-B93B-4E18-A0FB-EA84F5469F26}">
  <dimension ref="A1:F46"/>
  <sheetViews>
    <sheetView workbookViewId="0">
      <selection activeCell="D33" sqref="D33"/>
    </sheetView>
  </sheetViews>
  <sheetFormatPr defaultRowHeight="14.25" x14ac:dyDescent="0.2"/>
  <sheetData>
    <row r="1" spans="1:6" s="2" customFormat="1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s="2" customFormat="1" x14ac:dyDescent="0.2">
      <c r="A2" s="2" t="s">
        <v>5</v>
      </c>
      <c r="B2" s="2" t="s">
        <v>6</v>
      </c>
      <c r="C2" s="2">
        <v>30.8</v>
      </c>
      <c r="D2" s="2">
        <v>76.5</v>
      </c>
      <c r="E2" s="2" t="s">
        <v>63</v>
      </c>
      <c r="F2" s="21" t="s">
        <v>58</v>
      </c>
    </row>
    <row r="3" spans="1:6" s="2" customFormat="1" x14ac:dyDescent="0.2">
      <c r="A3" s="2" t="s">
        <v>7</v>
      </c>
      <c r="B3" s="2" t="s">
        <v>6</v>
      </c>
      <c r="C3" s="2">
        <v>30.95</v>
      </c>
      <c r="D3" s="2">
        <v>76.5</v>
      </c>
      <c r="E3" s="2" t="s">
        <v>63</v>
      </c>
      <c r="F3" s="21" t="s">
        <v>58</v>
      </c>
    </row>
    <row r="4" spans="1:6" s="2" customFormat="1" x14ac:dyDescent="0.2">
      <c r="A4" s="2" t="s">
        <v>8</v>
      </c>
      <c r="B4" s="2" t="s">
        <v>6</v>
      </c>
      <c r="C4" s="2">
        <v>30.55</v>
      </c>
      <c r="D4" s="2">
        <v>76.5</v>
      </c>
      <c r="E4" s="2" t="s">
        <v>63</v>
      </c>
      <c r="F4" s="21" t="s">
        <v>58</v>
      </c>
    </row>
    <row r="5" spans="1:6" s="2" customFormat="1" x14ac:dyDescent="0.2">
      <c r="A5" s="2" t="s">
        <v>9</v>
      </c>
      <c r="B5" s="2" t="s">
        <v>6</v>
      </c>
      <c r="C5" s="2">
        <v>29.3</v>
      </c>
      <c r="D5" s="2">
        <v>78</v>
      </c>
      <c r="E5" s="2" t="s">
        <v>63</v>
      </c>
      <c r="F5" s="21" t="s">
        <v>59</v>
      </c>
    </row>
    <row r="6" spans="1:6" s="2" customFormat="1" x14ac:dyDescent="0.2">
      <c r="A6" s="2" t="s">
        <v>10</v>
      </c>
      <c r="B6" s="2" t="s">
        <v>6</v>
      </c>
      <c r="C6" s="2">
        <v>29.46</v>
      </c>
      <c r="D6" s="2">
        <v>78</v>
      </c>
      <c r="E6" s="2" t="s">
        <v>63</v>
      </c>
      <c r="F6" s="21" t="s">
        <v>59</v>
      </c>
    </row>
    <row r="7" spans="1:6" s="2" customFormat="1" x14ac:dyDescent="0.2">
      <c r="A7" s="2" t="s">
        <v>11</v>
      </c>
      <c r="B7" s="2" t="s">
        <v>6</v>
      </c>
      <c r="C7" s="2">
        <v>29.97</v>
      </c>
      <c r="D7" s="2">
        <v>78</v>
      </c>
      <c r="E7" s="2" t="s">
        <v>63</v>
      </c>
      <c r="F7" s="21" t="s">
        <v>59</v>
      </c>
    </row>
    <row r="8" spans="1:6" s="2" customFormat="1" x14ac:dyDescent="0.2">
      <c r="A8" s="2" t="s">
        <v>12</v>
      </c>
      <c r="B8" s="2" t="s">
        <v>6</v>
      </c>
      <c r="C8" s="2">
        <v>29.21</v>
      </c>
      <c r="D8" s="2">
        <v>77.5</v>
      </c>
      <c r="E8" s="2" t="s">
        <v>63</v>
      </c>
      <c r="F8" s="21" t="s">
        <v>61</v>
      </c>
    </row>
    <row r="9" spans="1:6" s="2" customFormat="1" x14ac:dyDescent="0.2">
      <c r="A9" s="2" t="s">
        <v>13</v>
      </c>
      <c r="B9" s="2" t="s">
        <v>6</v>
      </c>
      <c r="C9" s="2">
        <v>29.68</v>
      </c>
      <c r="D9" s="2">
        <v>77</v>
      </c>
      <c r="E9" s="2" t="s">
        <v>63</v>
      </c>
      <c r="F9" s="21" t="s">
        <v>61</v>
      </c>
    </row>
    <row r="10" spans="1:6" s="2" customFormat="1" x14ac:dyDescent="0.2">
      <c r="A10" s="2" t="s">
        <v>14</v>
      </c>
      <c r="B10" s="2" t="s">
        <v>6</v>
      </c>
      <c r="C10" s="2">
        <v>29.06</v>
      </c>
      <c r="D10" s="2">
        <v>77.5</v>
      </c>
      <c r="E10" s="2" t="s">
        <v>63</v>
      </c>
      <c r="F10" s="21" t="s">
        <v>61</v>
      </c>
    </row>
    <row r="11" spans="1:6" s="2" customFormat="1" x14ac:dyDescent="0.2">
      <c r="A11" s="2" t="s">
        <v>15</v>
      </c>
      <c r="B11" s="2" t="s">
        <v>6</v>
      </c>
      <c r="C11" s="2">
        <v>17.239999999999998</v>
      </c>
      <c r="D11" s="2">
        <v>85.5</v>
      </c>
      <c r="E11" t="s">
        <v>4</v>
      </c>
      <c r="F11" s="21" t="s">
        <v>58</v>
      </c>
    </row>
    <row r="12" spans="1:6" s="2" customFormat="1" x14ac:dyDescent="0.2">
      <c r="A12" s="2" t="s">
        <v>16</v>
      </c>
      <c r="B12" s="2" t="s">
        <v>6</v>
      </c>
      <c r="C12" s="2">
        <v>17.100000000000001</v>
      </c>
      <c r="D12" s="2">
        <v>85.5</v>
      </c>
      <c r="E12" t="s">
        <v>4</v>
      </c>
      <c r="F12" s="21" t="s">
        <v>58</v>
      </c>
    </row>
    <row r="13" spans="1:6" s="2" customFormat="1" x14ac:dyDescent="0.2">
      <c r="A13" s="2" t="s">
        <v>17</v>
      </c>
      <c r="B13" s="2" t="s">
        <v>6</v>
      </c>
      <c r="C13" s="2">
        <v>17.12</v>
      </c>
      <c r="D13" s="2">
        <v>85.5</v>
      </c>
      <c r="E13" t="s">
        <v>4</v>
      </c>
      <c r="F13" s="21" t="s">
        <v>58</v>
      </c>
    </row>
    <row r="14" spans="1:6" s="2" customFormat="1" x14ac:dyDescent="0.2">
      <c r="A14" s="2" t="s">
        <v>18</v>
      </c>
      <c r="B14" s="2" t="s">
        <v>6</v>
      </c>
      <c r="C14" s="2">
        <v>17.100000000000001</v>
      </c>
      <c r="D14" s="2">
        <v>85.5</v>
      </c>
      <c r="E14" t="s">
        <v>4</v>
      </c>
      <c r="F14" s="21" t="s">
        <v>59</v>
      </c>
    </row>
    <row r="15" spans="1:6" s="2" customFormat="1" x14ac:dyDescent="0.2">
      <c r="A15" s="2" t="s">
        <v>19</v>
      </c>
      <c r="B15" s="2" t="s">
        <v>6</v>
      </c>
      <c r="C15" s="2">
        <v>17.23</v>
      </c>
      <c r="D15" s="2">
        <v>85.5</v>
      </c>
      <c r="E15" t="s">
        <v>4</v>
      </c>
      <c r="F15" s="21" t="s">
        <v>59</v>
      </c>
    </row>
    <row r="16" spans="1:6" s="2" customFormat="1" x14ac:dyDescent="0.2">
      <c r="A16" s="2" t="s">
        <v>20</v>
      </c>
      <c r="B16" s="2" t="s">
        <v>6</v>
      </c>
      <c r="C16" s="2">
        <v>17.260000000000002</v>
      </c>
      <c r="D16" s="2">
        <v>85.5</v>
      </c>
      <c r="E16" t="s">
        <v>4</v>
      </c>
      <c r="F16" s="21" t="s">
        <v>59</v>
      </c>
    </row>
    <row r="17" spans="1:6" s="2" customFormat="1" x14ac:dyDescent="0.2">
      <c r="A17" s="2" t="s">
        <v>21</v>
      </c>
      <c r="B17" s="2" t="s">
        <v>6</v>
      </c>
      <c r="C17" s="2">
        <v>17.02</v>
      </c>
      <c r="D17" s="2">
        <v>85.5</v>
      </c>
      <c r="E17" t="s">
        <v>4</v>
      </c>
      <c r="F17" s="21" t="s">
        <v>61</v>
      </c>
    </row>
    <row r="18" spans="1:6" s="2" customFormat="1" x14ac:dyDescent="0.2">
      <c r="A18" s="2" t="s">
        <v>22</v>
      </c>
      <c r="B18" s="2" t="s">
        <v>6</v>
      </c>
      <c r="C18" s="2">
        <v>17.190000000000001</v>
      </c>
      <c r="D18" s="2">
        <v>85.5</v>
      </c>
      <c r="E18" t="s">
        <v>4</v>
      </c>
      <c r="F18" s="21" t="s">
        <v>61</v>
      </c>
    </row>
    <row r="19" spans="1:6" s="2" customFormat="1" x14ac:dyDescent="0.2">
      <c r="A19" s="2" t="s">
        <v>23</v>
      </c>
      <c r="B19" s="2" t="s">
        <v>6</v>
      </c>
      <c r="C19" s="2">
        <v>17.059999999999999</v>
      </c>
      <c r="D19" s="2">
        <v>85.5</v>
      </c>
      <c r="E19" t="s">
        <v>4</v>
      </c>
      <c r="F19" s="21" t="s">
        <v>61</v>
      </c>
    </row>
    <row r="20" spans="1:6" s="2" customFormat="1" x14ac:dyDescent="0.2">
      <c r="C20"/>
      <c r="D20"/>
    </row>
    <row r="21" spans="1:6" s="2" customFormat="1" x14ac:dyDescent="0.2">
      <c r="C21"/>
      <c r="D21"/>
    </row>
    <row r="22" spans="1:6" s="2" customFormat="1" x14ac:dyDescent="0.2">
      <c r="C22"/>
      <c r="D22"/>
    </row>
    <row r="23" spans="1:6" s="2" customFormat="1" x14ac:dyDescent="0.2">
      <c r="C23"/>
      <c r="D23"/>
    </row>
    <row r="24" spans="1:6" s="2" customFormat="1" x14ac:dyDescent="0.2">
      <c r="C24"/>
      <c r="D24"/>
    </row>
    <row r="25" spans="1:6" s="2" customFormat="1" x14ac:dyDescent="0.2">
      <c r="C25"/>
      <c r="D25"/>
    </row>
    <row r="26" spans="1:6" s="2" customFormat="1" x14ac:dyDescent="0.2">
      <c r="C26"/>
      <c r="D26"/>
    </row>
    <row r="27" spans="1:6" s="2" customFormat="1" x14ac:dyDescent="0.2">
      <c r="C27"/>
      <c r="D27"/>
    </row>
    <row r="28" spans="1:6" s="2" customFormat="1" x14ac:dyDescent="0.2">
      <c r="C28"/>
      <c r="D28"/>
    </row>
    <row r="29" spans="1:6" s="2" customFormat="1" x14ac:dyDescent="0.2">
      <c r="C29"/>
      <c r="D29"/>
    </row>
    <row r="30" spans="1:6" s="2" customFormat="1" x14ac:dyDescent="0.2">
      <c r="C30"/>
      <c r="D30"/>
    </row>
    <row r="31" spans="1:6" s="2" customFormat="1" x14ac:dyDescent="0.2">
      <c r="C31"/>
      <c r="D31"/>
    </row>
    <row r="32" spans="1:6" x14ac:dyDescent="0.2">
      <c r="A32" s="2"/>
      <c r="B32" s="2"/>
    </row>
    <row r="33" spans="1:2" x14ac:dyDescent="0.2">
      <c r="A33" s="2"/>
      <c r="B33" s="2"/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7D7F-4BEA-4C77-84CC-46F05EC1F67C}">
  <dimension ref="A1:P10"/>
  <sheetViews>
    <sheetView topLeftCell="A16" workbookViewId="0">
      <selection activeCell="J2" sqref="J2:J10"/>
    </sheetView>
  </sheetViews>
  <sheetFormatPr defaultRowHeight="14.25" x14ac:dyDescent="0.2"/>
  <cols>
    <col min="1" max="1" width="11.75" bestFit="1" customWidth="1"/>
    <col min="9" max="9" width="12.875" style="15" customWidth="1"/>
  </cols>
  <sheetData>
    <row r="1" spans="1:16" s="2" customFormat="1" x14ac:dyDescent="0.2">
      <c r="A1" s="21" t="s">
        <v>60</v>
      </c>
      <c r="B1"/>
      <c r="C1" s="1" t="s">
        <v>0</v>
      </c>
      <c r="D1" s="1" t="s">
        <v>1</v>
      </c>
      <c r="E1" s="2" t="s">
        <v>2</v>
      </c>
      <c r="F1"/>
      <c r="G1"/>
      <c r="H1"/>
      <c r="I1" s="15" t="s">
        <v>3</v>
      </c>
      <c r="L1" s="20"/>
      <c r="M1" s="20"/>
      <c r="N1" s="20"/>
      <c r="O1" s="20"/>
      <c r="P1" s="20"/>
    </row>
    <row r="2" spans="1:16" s="2" customFormat="1" x14ac:dyDescent="0.2">
      <c r="A2" s="2" t="s">
        <v>33</v>
      </c>
      <c r="B2" t="s">
        <v>4</v>
      </c>
      <c r="C2" s="2">
        <v>17.11</v>
      </c>
      <c r="D2" s="1">
        <f>AVERAGE(C2:C4)</f>
        <v>17.156666666666666</v>
      </c>
      <c r="E2" s="2">
        <v>24.01</v>
      </c>
      <c r="F2" s="1">
        <f>E2-D2</f>
        <v>6.8533333333333353</v>
      </c>
      <c r="G2" s="1">
        <f>AVERAGE(F2:F4)</f>
        <v>6.8433333333333337</v>
      </c>
      <c r="H2" s="1">
        <f>F2-G2</f>
        <v>1.0000000000001563E-2</v>
      </c>
      <c r="I2" s="15">
        <f>POWER(2,-H2)</f>
        <v>0.99309249543703471</v>
      </c>
      <c r="J2" s="22" t="s">
        <v>64</v>
      </c>
      <c r="N2" s="20"/>
      <c r="O2" s="20"/>
      <c r="P2" s="20"/>
    </row>
    <row r="3" spans="1:16" s="2" customFormat="1" x14ac:dyDescent="0.2">
      <c r="A3" s="2" t="s">
        <v>33</v>
      </c>
      <c r="B3" t="s">
        <v>4</v>
      </c>
      <c r="C3" s="2">
        <v>17.14</v>
      </c>
      <c r="D3" s="1">
        <f>AVERAGE(C2:C4)</f>
        <v>17.156666666666666</v>
      </c>
      <c r="E3" s="2">
        <v>23.99</v>
      </c>
      <c r="F3" s="1">
        <f t="shared" ref="F3:F7" si="0">E3-D3</f>
        <v>6.8333333333333321</v>
      </c>
      <c r="G3" s="1">
        <f>G2</f>
        <v>6.8433333333333337</v>
      </c>
      <c r="H3" s="1">
        <f t="shared" ref="H3:H7" si="1">F3-G3</f>
        <v>-1.0000000000001563E-2</v>
      </c>
      <c r="I3" s="15">
        <f t="shared" ref="I3:I7" si="2">POWER(2,-H3)</f>
        <v>1.00695555005672</v>
      </c>
      <c r="J3" s="22"/>
      <c r="N3" s="20"/>
      <c r="O3" s="20"/>
      <c r="P3" s="20"/>
    </row>
    <row r="4" spans="1:16" s="2" customFormat="1" x14ac:dyDescent="0.2">
      <c r="A4" s="2" t="s">
        <v>33</v>
      </c>
      <c r="B4" t="s">
        <v>4</v>
      </c>
      <c r="C4" s="2">
        <v>17.22</v>
      </c>
      <c r="D4" s="1">
        <f>AVERAGE(C2:C4)</f>
        <v>17.156666666666666</v>
      </c>
      <c r="E4" s="2">
        <v>24</v>
      </c>
      <c r="F4" s="1">
        <f t="shared" si="0"/>
        <v>6.8433333333333337</v>
      </c>
      <c r="G4" s="1">
        <f t="shared" ref="G4:G10" si="3">G3</f>
        <v>6.8433333333333337</v>
      </c>
      <c r="H4" s="1">
        <f t="shared" si="1"/>
        <v>0</v>
      </c>
      <c r="I4" s="15">
        <f t="shared" si="2"/>
        <v>1</v>
      </c>
      <c r="J4" s="22"/>
      <c r="N4" s="20"/>
      <c r="O4" s="20"/>
      <c r="P4" s="20"/>
    </row>
    <row r="5" spans="1:16" s="2" customFormat="1" x14ac:dyDescent="0.2">
      <c r="A5" s="2" t="s">
        <v>66</v>
      </c>
      <c r="B5" t="s">
        <v>4</v>
      </c>
      <c r="C5" s="2">
        <v>17.079999999999998</v>
      </c>
      <c r="D5" s="1">
        <f>AVERAGE(C5:C7)</f>
        <v>17.126666666666669</v>
      </c>
      <c r="E5" s="2">
        <v>25.02</v>
      </c>
      <c r="F5" s="1">
        <f t="shared" si="0"/>
        <v>7.8933333333333309</v>
      </c>
      <c r="G5" s="1">
        <f t="shared" si="3"/>
        <v>6.8433333333333337</v>
      </c>
      <c r="H5" s="1">
        <f t="shared" si="1"/>
        <v>1.0499999999999972</v>
      </c>
      <c r="I5" s="15">
        <f t="shared" si="2"/>
        <v>0.4829681644624238</v>
      </c>
      <c r="J5" s="22"/>
      <c r="L5" s="20"/>
      <c r="M5" s="20"/>
      <c r="N5" s="20"/>
      <c r="O5" s="20"/>
      <c r="P5" s="20"/>
    </row>
    <row r="6" spans="1:16" s="2" customFormat="1" x14ac:dyDescent="0.2">
      <c r="A6" s="2" t="s">
        <v>66</v>
      </c>
      <c r="B6" t="s">
        <v>4</v>
      </c>
      <c r="C6" s="2">
        <v>17.09</v>
      </c>
      <c r="D6" s="1">
        <f>AVERAGE(C5:C7)</f>
        <v>17.126666666666669</v>
      </c>
      <c r="E6" s="2">
        <v>25.01</v>
      </c>
      <c r="F6" s="1">
        <f t="shared" si="0"/>
        <v>7.8833333333333329</v>
      </c>
      <c r="G6" s="1">
        <f t="shared" si="3"/>
        <v>6.8433333333333337</v>
      </c>
      <c r="H6" s="1">
        <f t="shared" si="1"/>
        <v>1.0399999999999991</v>
      </c>
      <c r="I6" s="15">
        <f t="shared" si="2"/>
        <v>0.48632747370614304</v>
      </c>
      <c r="J6" s="22"/>
      <c r="L6" s="20"/>
      <c r="M6" s="20"/>
      <c r="N6" s="20"/>
      <c r="O6" s="20"/>
      <c r="P6" s="20"/>
    </row>
    <row r="7" spans="1:16" s="2" customFormat="1" x14ac:dyDescent="0.2">
      <c r="A7" s="2" t="s">
        <v>66</v>
      </c>
      <c r="B7" t="s">
        <v>4</v>
      </c>
      <c r="C7" s="2">
        <v>17.21</v>
      </c>
      <c r="D7" s="1">
        <f>AVERAGE(C5:C7)</f>
        <v>17.126666666666669</v>
      </c>
      <c r="E7" s="2">
        <v>25.02</v>
      </c>
      <c r="F7" s="1">
        <f t="shared" si="0"/>
        <v>7.8933333333333309</v>
      </c>
      <c r="G7" s="1">
        <f t="shared" si="3"/>
        <v>6.8433333333333337</v>
      </c>
      <c r="H7" s="1">
        <f t="shared" si="1"/>
        <v>1.0499999999999972</v>
      </c>
      <c r="I7" s="15">
        <f t="shared" si="2"/>
        <v>0.4829681644624238</v>
      </c>
      <c r="J7" s="22"/>
      <c r="L7" s="20"/>
      <c r="M7" s="20"/>
      <c r="N7" s="20"/>
      <c r="O7" s="20"/>
    </row>
    <row r="8" spans="1:16" s="2" customFormat="1" x14ac:dyDescent="0.2">
      <c r="A8" s="2" t="s">
        <v>67</v>
      </c>
      <c r="B8" t="s">
        <v>4</v>
      </c>
      <c r="C8" s="2">
        <v>17.329999999999998</v>
      </c>
      <c r="D8" s="1">
        <f>AVERAGE(C8:C10)</f>
        <v>17.09</v>
      </c>
      <c r="E8" s="2">
        <v>24.83</v>
      </c>
      <c r="F8" s="1">
        <f>E8-D8</f>
        <v>7.7399999999999984</v>
      </c>
      <c r="G8" s="1">
        <f>G7</f>
        <v>6.8433333333333337</v>
      </c>
      <c r="H8" s="1">
        <f>F8-G8</f>
        <v>0.89666666666666472</v>
      </c>
      <c r="I8" s="15">
        <f>POWER(2,-H8)</f>
        <v>0.53712632400664351</v>
      </c>
      <c r="J8" s="22"/>
      <c r="M8" s="20"/>
      <c r="N8" s="20"/>
      <c r="O8" s="20"/>
    </row>
    <row r="9" spans="1:16" s="2" customFormat="1" x14ac:dyDescent="0.2">
      <c r="A9" s="2" t="s">
        <v>67</v>
      </c>
      <c r="B9" t="s">
        <v>4</v>
      </c>
      <c r="C9" s="2">
        <v>16.89</v>
      </c>
      <c r="D9" s="1">
        <f>AVERAGE(C8:C10)</f>
        <v>17.09</v>
      </c>
      <c r="E9" s="2">
        <v>24.63</v>
      </c>
      <c r="F9" s="1">
        <f t="shared" ref="F9:F10" si="4">E9-D9</f>
        <v>7.5399999999999991</v>
      </c>
      <c r="G9" s="1">
        <f t="shared" si="3"/>
        <v>6.8433333333333337</v>
      </c>
      <c r="H9" s="1">
        <f t="shared" ref="H9:H10" si="5">F9-G9</f>
        <v>0.69666666666666544</v>
      </c>
      <c r="I9" s="15">
        <f t="shared" ref="I9:I10" si="6">POWER(2,-H9)</f>
        <v>0.61699612481203558</v>
      </c>
      <c r="J9" s="22"/>
      <c r="M9" s="20"/>
      <c r="N9" s="20"/>
      <c r="O9" s="20"/>
    </row>
    <row r="10" spans="1:16" s="2" customFormat="1" x14ac:dyDescent="0.2">
      <c r="A10" s="2" t="s">
        <v>67</v>
      </c>
      <c r="B10" t="s">
        <v>4</v>
      </c>
      <c r="C10" s="2">
        <v>17.05</v>
      </c>
      <c r="D10" s="1">
        <f>AVERAGE(C8:C10)</f>
        <v>17.09</v>
      </c>
      <c r="E10" s="2">
        <v>24.7</v>
      </c>
      <c r="F10" s="1">
        <f t="shared" si="4"/>
        <v>7.6099999999999994</v>
      </c>
      <c r="G10" s="1">
        <f t="shared" si="3"/>
        <v>6.8433333333333337</v>
      </c>
      <c r="H10" s="1">
        <f t="shared" si="5"/>
        <v>0.76666666666666572</v>
      </c>
      <c r="I10" s="15">
        <f t="shared" si="6"/>
        <v>0.58777395314180469</v>
      </c>
      <c r="J10" s="22"/>
      <c r="M10" s="20"/>
      <c r="N10" s="20"/>
      <c r="O10" s="20"/>
    </row>
  </sheetData>
  <mergeCells count="1">
    <mergeCell ref="J2:J1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1FE2-9E66-4A4E-AC32-9B1D754364DD}">
  <dimension ref="A1:F19"/>
  <sheetViews>
    <sheetView workbookViewId="0">
      <selection activeCell="E24" sqref="E24"/>
    </sheetView>
  </sheetViews>
  <sheetFormatPr defaultRowHeight="14.25" x14ac:dyDescent="0.2"/>
  <sheetData>
    <row r="1" spans="1:6" s="2" customFormat="1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s="2" customFormat="1" x14ac:dyDescent="0.2">
      <c r="A2" s="2" t="s">
        <v>5</v>
      </c>
      <c r="B2" s="2" t="s">
        <v>6</v>
      </c>
      <c r="C2" s="2">
        <v>24.01</v>
      </c>
      <c r="D2" s="2">
        <v>82</v>
      </c>
      <c r="E2" s="2" t="s">
        <v>63</v>
      </c>
      <c r="F2" s="2" t="s">
        <v>33</v>
      </c>
    </row>
    <row r="3" spans="1:6" s="2" customFormat="1" x14ac:dyDescent="0.2">
      <c r="A3" s="2" t="s">
        <v>7</v>
      </c>
      <c r="B3" s="2" t="s">
        <v>6</v>
      </c>
      <c r="C3" s="2">
        <v>23.99</v>
      </c>
      <c r="D3" s="2">
        <v>82</v>
      </c>
      <c r="E3" s="2" t="s">
        <v>63</v>
      </c>
      <c r="F3" s="2" t="s">
        <v>33</v>
      </c>
    </row>
    <row r="4" spans="1:6" s="2" customFormat="1" x14ac:dyDescent="0.2">
      <c r="A4" s="2" t="s">
        <v>8</v>
      </c>
      <c r="B4" s="2" t="s">
        <v>6</v>
      </c>
      <c r="C4" s="2">
        <v>24</v>
      </c>
      <c r="D4" s="2">
        <v>82</v>
      </c>
      <c r="E4" s="2" t="s">
        <v>63</v>
      </c>
      <c r="F4" s="2" t="s">
        <v>33</v>
      </c>
    </row>
    <row r="5" spans="1:6" s="2" customFormat="1" x14ac:dyDescent="0.2">
      <c r="A5" s="2" t="s">
        <v>9</v>
      </c>
      <c r="B5" s="2" t="s">
        <v>6</v>
      </c>
      <c r="C5" s="2">
        <v>25.02</v>
      </c>
      <c r="D5" s="2">
        <v>82</v>
      </c>
      <c r="E5" s="2" t="s">
        <v>63</v>
      </c>
      <c r="F5" s="2" t="s">
        <v>66</v>
      </c>
    </row>
    <row r="6" spans="1:6" s="2" customFormat="1" x14ac:dyDescent="0.2">
      <c r="A6" s="2" t="s">
        <v>10</v>
      </c>
      <c r="B6" s="2" t="s">
        <v>6</v>
      </c>
      <c r="C6" s="2">
        <v>25.01</v>
      </c>
      <c r="D6" s="2">
        <v>82</v>
      </c>
      <c r="E6" s="2" t="s">
        <v>63</v>
      </c>
      <c r="F6" s="2" t="s">
        <v>66</v>
      </c>
    </row>
    <row r="7" spans="1:6" s="2" customFormat="1" x14ac:dyDescent="0.2">
      <c r="A7" s="2" t="s">
        <v>11</v>
      </c>
      <c r="B7" s="2" t="s">
        <v>6</v>
      </c>
      <c r="C7" s="2">
        <v>25.02</v>
      </c>
      <c r="D7" s="2">
        <v>82</v>
      </c>
      <c r="E7" s="2" t="s">
        <v>63</v>
      </c>
      <c r="F7" s="2" t="s">
        <v>66</v>
      </c>
    </row>
    <row r="8" spans="1:6" s="2" customFormat="1" x14ac:dyDescent="0.2">
      <c r="A8" s="2" t="s">
        <v>12</v>
      </c>
      <c r="B8" s="2" t="s">
        <v>6</v>
      </c>
      <c r="C8" s="2">
        <v>24.83</v>
      </c>
      <c r="D8" s="2">
        <v>82</v>
      </c>
      <c r="E8" s="2" t="s">
        <v>63</v>
      </c>
      <c r="F8" s="2" t="s">
        <v>67</v>
      </c>
    </row>
    <row r="9" spans="1:6" s="2" customFormat="1" x14ac:dyDescent="0.2">
      <c r="A9" s="2" t="s">
        <v>13</v>
      </c>
      <c r="B9" s="2" t="s">
        <v>6</v>
      </c>
      <c r="C9" s="2">
        <v>24.63</v>
      </c>
      <c r="D9" s="2">
        <v>82</v>
      </c>
      <c r="E9" s="2" t="s">
        <v>63</v>
      </c>
      <c r="F9" s="2" t="s">
        <v>67</v>
      </c>
    </row>
    <row r="10" spans="1:6" s="2" customFormat="1" x14ac:dyDescent="0.2">
      <c r="A10" s="2" t="s">
        <v>56</v>
      </c>
      <c r="B10" s="2" t="s">
        <v>6</v>
      </c>
      <c r="C10" s="2">
        <v>24.7</v>
      </c>
      <c r="D10" s="2">
        <v>82</v>
      </c>
      <c r="E10" s="2" t="s">
        <v>63</v>
      </c>
      <c r="F10" s="2" t="s">
        <v>67</v>
      </c>
    </row>
    <row r="11" spans="1:6" s="2" customFormat="1" x14ac:dyDescent="0.2">
      <c r="A11" s="2" t="s">
        <v>57</v>
      </c>
      <c r="B11" s="2" t="s">
        <v>6</v>
      </c>
      <c r="C11" s="2">
        <v>17.11</v>
      </c>
      <c r="D11" s="2">
        <v>85.5</v>
      </c>
      <c r="E11" t="s">
        <v>4</v>
      </c>
      <c r="F11" s="2" t="s">
        <v>33</v>
      </c>
    </row>
    <row r="12" spans="1:6" s="2" customFormat="1" x14ac:dyDescent="0.2">
      <c r="A12" s="2" t="s">
        <v>19</v>
      </c>
      <c r="B12" s="2" t="s">
        <v>6</v>
      </c>
      <c r="C12" s="2">
        <v>17.14</v>
      </c>
      <c r="D12" s="2">
        <v>85.5</v>
      </c>
      <c r="E12" t="s">
        <v>4</v>
      </c>
      <c r="F12" s="2" t="s">
        <v>33</v>
      </c>
    </row>
    <row r="13" spans="1:6" s="2" customFormat="1" x14ac:dyDescent="0.2">
      <c r="A13" s="2" t="s">
        <v>20</v>
      </c>
      <c r="B13" s="2" t="s">
        <v>6</v>
      </c>
      <c r="C13" s="2">
        <v>17.22</v>
      </c>
      <c r="D13" s="2">
        <v>85.5</v>
      </c>
      <c r="E13" t="s">
        <v>4</v>
      </c>
      <c r="F13" s="2" t="s">
        <v>33</v>
      </c>
    </row>
    <row r="14" spans="1:6" s="2" customFormat="1" x14ac:dyDescent="0.2">
      <c r="A14" s="2" t="s">
        <v>21</v>
      </c>
      <c r="B14" s="2" t="s">
        <v>6</v>
      </c>
      <c r="C14" s="2">
        <v>17.079999999999998</v>
      </c>
      <c r="D14" s="2">
        <v>85.5</v>
      </c>
      <c r="E14" t="s">
        <v>4</v>
      </c>
      <c r="F14" s="2" t="s">
        <v>66</v>
      </c>
    </row>
    <row r="15" spans="1:6" s="2" customFormat="1" x14ac:dyDescent="0.2">
      <c r="A15" s="2" t="s">
        <v>22</v>
      </c>
      <c r="B15" s="2" t="s">
        <v>6</v>
      </c>
      <c r="C15" s="2">
        <v>17.09</v>
      </c>
      <c r="D15" s="2">
        <v>85.5</v>
      </c>
      <c r="E15" t="s">
        <v>4</v>
      </c>
      <c r="F15" s="2" t="s">
        <v>66</v>
      </c>
    </row>
    <row r="16" spans="1:6" s="2" customFormat="1" x14ac:dyDescent="0.2">
      <c r="A16" s="2" t="s">
        <v>23</v>
      </c>
      <c r="B16" s="2" t="s">
        <v>6</v>
      </c>
      <c r="C16" s="2">
        <v>17.21</v>
      </c>
      <c r="D16" s="2">
        <v>85.5</v>
      </c>
      <c r="E16" t="s">
        <v>4</v>
      </c>
      <c r="F16" s="2" t="s">
        <v>66</v>
      </c>
    </row>
    <row r="17" spans="1:6" s="2" customFormat="1" x14ac:dyDescent="0.2">
      <c r="A17" s="2" t="s">
        <v>24</v>
      </c>
      <c r="B17" s="2" t="s">
        <v>6</v>
      </c>
      <c r="C17" s="2">
        <v>17.329999999999998</v>
      </c>
      <c r="D17" s="2">
        <v>85.5</v>
      </c>
      <c r="E17" t="s">
        <v>4</v>
      </c>
      <c r="F17" s="2" t="s">
        <v>67</v>
      </c>
    </row>
    <row r="18" spans="1:6" s="2" customFormat="1" x14ac:dyDescent="0.2">
      <c r="A18" s="2" t="s">
        <v>25</v>
      </c>
      <c r="B18" s="2" t="s">
        <v>6</v>
      </c>
      <c r="C18" s="2">
        <v>16.89</v>
      </c>
      <c r="D18" s="2">
        <v>85.5</v>
      </c>
      <c r="E18" t="s">
        <v>4</v>
      </c>
      <c r="F18" s="2" t="s">
        <v>67</v>
      </c>
    </row>
    <row r="19" spans="1:6" s="2" customFormat="1" x14ac:dyDescent="0.2">
      <c r="A19" s="2" t="s">
        <v>26</v>
      </c>
      <c r="B19" s="2" t="s">
        <v>6</v>
      </c>
      <c r="C19" s="2">
        <v>17.05</v>
      </c>
      <c r="D19" s="2">
        <v>85.5</v>
      </c>
      <c r="E19" t="s">
        <v>4</v>
      </c>
      <c r="F19" s="2" t="s">
        <v>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0B61-9D4F-4A47-83E0-685AFC196DE3}">
  <dimension ref="A1:P10"/>
  <sheetViews>
    <sheetView workbookViewId="0">
      <selection activeCell="F27" sqref="F27"/>
    </sheetView>
  </sheetViews>
  <sheetFormatPr defaultRowHeight="14.25" x14ac:dyDescent="0.2"/>
  <cols>
    <col min="1" max="1" width="11.75" bestFit="1" customWidth="1"/>
    <col min="9" max="9" width="12.875" style="15" customWidth="1"/>
  </cols>
  <sheetData>
    <row r="1" spans="1:16" s="2" customFormat="1" x14ac:dyDescent="0.2">
      <c r="A1" s="2" t="s">
        <v>62</v>
      </c>
      <c r="B1"/>
      <c r="C1" s="1" t="s">
        <v>0</v>
      </c>
      <c r="D1" s="1" t="s">
        <v>1</v>
      </c>
      <c r="E1" s="2" t="s">
        <v>2</v>
      </c>
      <c r="F1"/>
      <c r="G1"/>
      <c r="H1"/>
      <c r="I1" s="15" t="s">
        <v>3</v>
      </c>
      <c r="L1" s="4"/>
      <c r="M1" s="4"/>
      <c r="N1" s="4"/>
      <c r="O1" s="4"/>
      <c r="P1" s="4"/>
    </row>
    <row r="2" spans="1:16" s="2" customFormat="1" x14ac:dyDescent="0.2">
      <c r="A2" s="2" t="s">
        <v>33</v>
      </c>
      <c r="B2" t="s">
        <v>4</v>
      </c>
      <c r="C2" s="2">
        <v>17.36</v>
      </c>
      <c r="D2" s="1">
        <f>AVERAGE(C2:C4)</f>
        <v>17.256666666666668</v>
      </c>
      <c r="E2" s="2">
        <v>29.74</v>
      </c>
      <c r="F2" s="1">
        <f>E2-D2</f>
        <v>12.483333333333331</v>
      </c>
      <c r="G2" s="1">
        <f>AVERAGE(F2:F4)</f>
        <v>12.429999999999998</v>
      </c>
      <c r="H2" s="1">
        <f>F2-G2</f>
        <v>5.3333333333332789E-2</v>
      </c>
      <c r="I2" s="15">
        <f>POWER(2,-H2)</f>
        <v>0.96370711839155232</v>
      </c>
      <c r="J2" s="22" t="s">
        <v>64</v>
      </c>
      <c r="N2" s="4"/>
      <c r="O2" s="4"/>
      <c r="P2" s="4"/>
    </row>
    <row r="3" spans="1:16" s="2" customFormat="1" x14ac:dyDescent="0.2">
      <c r="A3" s="2" t="s">
        <v>33</v>
      </c>
      <c r="B3" t="s">
        <v>4</v>
      </c>
      <c r="C3" s="2">
        <v>17.309999999999999</v>
      </c>
      <c r="D3" s="1">
        <f>AVERAGE(C2:C4)</f>
        <v>17.256666666666668</v>
      </c>
      <c r="E3" s="2">
        <v>29.77</v>
      </c>
      <c r="F3" s="1">
        <f t="shared" ref="F3:F7" si="0">E3-D3</f>
        <v>12.513333333333332</v>
      </c>
      <c r="G3" s="1">
        <f>G2</f>
        <v>12.429999999999998</v>
      </c>
      <c r="H3" s="1">
        <f t="shared" ref="H3:H7" si="1">F3-G3</f>
        <v>8.3333333333333925E-2</v>
      </c>
      <c r="I3" s="15">
        <f t="shared" ref="I3:I7" si="2">POWER(2,-H3)</f>
        <v>0.94387431268169308</v>
      </c>
      <c r="J3" s="22"/>
      <c r="N3" s="4"/>
      <c r="O3" s="4"/>
      <c r="P3" s="4"/>
    </row>
    <row r="4" spans="1:16" s="2" customFormat="1" x14ac:dyDescent="0.2">
      <c r="A4" s="2" t="s">
        <v>33</v>
      </c>
      <c r="B4" t="s">
        <v>4</v>
      </c>
      <c r="C4" s="2">
        <v>17.100000000000001</v>
      </c>
      <c r="D4" s="1">
        <f>AVERAGE(C2:C4)</f>
        <v>17.256666666666668</v>
      </c>
      <c r="E4" s="2">
        <v>29.55</v>
      </c>
      <c r="F4" s="1">
        <f t="shared" si="0"/>
        <v>12.293333333333333</v>
      </c>
      <c r="G4" s="1">
        <f t="shared" ref="G4:G10" si="3">G3</f>
        <v>12.429999999999998</v>
      </c>
      <c r="H4" s="1">
        <f t="shared" si="1"/>
        <v>-0.13666666666666494</v>
      </c>
      <c r="I4" s="15">
        <f t="shared" si="2"/>
        <v>1.0993621133851963</v>
      </c>
      <c r="J4" s="22"/>
      <c r="N4" s="4"/>
      <c r="O4" s="4"/>
      <c r="P4" s="4"/>
    </row>
    <row r="5" spans="1:16" s="2" customFormat="1" x14ac:dyDescent="0.2">
      <c r="A5" s="2" t="s">
        <v>66</v>
      </c>
      <c r="B5" t="s">
        <v>4</v>
      </c>
      <c r="C5" s="2">
        <v>17.29</v>
      </c>
      <c r="D5" s="1">
        <f>AVERAGE(C5:C7)</f>
        <v>17.34</v>
      </c>
      <c r="E5" s="2">
        <v>30.57</v>
      </c>
      <c r="F5" s="1">
        <f t="shared" si="0"/>
        <v>13.23</v>
      </c>
      <c r="G5" s="1">
        <f t="shared" si="3"/>
        <v>12.429999999999998</v>
      </c>
      <c r="H5" s="1">
        <f t="shared" si="1"/>
        <v>0.80000000000000249</v>
      </c>
      <c r="I5" s="15">
        <f t="shared" si="2"/>
        <v>0.57434917749851644</v>
      </c>
      <c r="J5" s="22"/>
      <c r="L5" s="4"/>
      <c r="M5" s="4"/>
      <c r="N5" s="4"/>
      <c r="O5" s="4"/>
      <c r="P5" s="4"/>
    </row>
    <row r="6" spans="1:16" s="2" customFormat="1" x14ac:dyDescent="0.2">
      <c r="A6" s="2" t="s">
        <v>66</v>
      </c>
      <c r="B6" t="s">
        <v>4</v>
      </c>
      <c r="C6" s="2">
        <v>17.29</v>
      </c>
      <c r="D6" s="1">
        <f>AVERAGE(C5:C7)</f>
        <v>17.34</v>
      </c>
      <c r="E6" s="2">
        <v>30.81</v>
      </c>
      <c r="F6" s="1">
        <f t="shared" si="0"/>
        <v>13.469999999999999</v>
      </c>
      <c r="G6" s="1">
        <f t="shared" si="3"/>
        <v>12.429999999999998</v>
      </c>
      <c r="H6" s="1">
        <f t="shared" si="1"/>
        <v>1.0400000000000009</v>
      </c>
      <c r="I6" s="15">
        <f t="shared" si="2"/>
        <v>0.48632747370614243</v>
      </c>
      <c r="J6" s="22"/>
      <c r="L6" s="4"/>
      <c r="M6" s="4"/>
      <c r="N6" s="4"/>
      <c r="O6" s="4"/>
      <c r="P6" s="4"/>
    </row>
    <row r="7" spans="1:16" s="2" customFormat="1" x14ac:dyDescent="0.2">
      <c r="A7" s="2" t="s">
        <v>66</v>
      </c>
      <c r="B7" t="s">
        <v>4</v>
      </c>
      <c r="C7" s="2">
        <v>17.440000000000001</v>
      </c>
      <c r="D7" s="1">
        <f>AVERAGE(C5:C7)</f>
        <v>17.34</v>
      </c>
      <c r="E7" s="2">
        <v>30.54</v>
      </c>
      <c r="F7" s="1">
        <f t="shared" si="0"/>
        <v>13.2</v>
      </c>
      <c r="G7" s="1">
        <f t="shared" si="3"/>
        <v>12.429999999999998</v>
      </c>
      <c r="H7" s="1">
        <f t="shared" si="1"/>
        <v>0.77000000000000135</v>
      </c>
      <c r="I7" s="15">
        <f t="shared" si="2"/>
        <v>0.58641747461593885</v>
      </c>
      <c r="J7" s="22"/>
      <c r="L7" s="4"/>
      <c r="M7" s="4"/>
      <c r="N7" s="4"/>
      <c r="O7" s="4"/>
    </row>
    <row r="8" spans="1:16" s="2" customFormat="1" x14ac:dyDescent="0.2">
      <c r="A8" s="2" t="s">
        <v>67</v>
      </c>
      <c r="B8" t="s">
        <v>4</v>
      </c>
      <c r="C8" s="2">
        <v>17.27</v>
      </c>
      <c r="D8" s="1">
        <f>AVERAGE(C8:C10)</f>
        <v>17.253333333333334</v>
      </c>
      <c r="E8" s="2">
        <v>30.24</v>
      </c>
      <c r="F8" s="1">
        <f>E8-D8</f>
        <v>12.986666666666665</v>
      </c>
      <c r="G8" s="1">
        <f>G7</f>
        <v>12.429999999999998</v>
      </c>
      <c r="H8" s="1">
        <f>F8-G8</f>
        <v>0.55666666666666664</v>
      </c>
      <c r="I8" s="15">
        <f>POWER(2,-H8)</f>
        <v>0.6798711864064253</v>
      </c>
      <c r="J8" s="22"/>
      <c r="M8" s="4"/>
      <c r="N8" s="4"/>
      <c r="O8" s="4"/>
    </row>
    <row r="9" spans="1:16" s="2" customFormat="1" x14ac:dyDescent="0.2">
      <c r="A9" s="2" t="s">
        <v>67</v>
      </c>
      <c r="B9" t="s">
        <v>4</v>
      </c>
      <c r="C9" s="2">
        <v>17.23</v>
      </c>
      <c r="D9" s="1">
        <f>AVERAGE(C8:C10)</f>
        <v>17.253333333333334</v>
      </c>
      <c r="E9" s="2">
        <v>30.38</v>
      </c>
      <c r="F9" s="1">
        <f t="shared" ref="F9:F10" si="4">E9-D9</f>
        <v>13.126666666666665</v>
      </c>
      <c r="G9" s="1">
        <f t="shared" si="3"/>
        <v>12.429999999999998</v>
      </c>
      <c r="H9" s="1">
        <f t="shared" ref="H9:H10" si="5">F9-G9</f>
        <v>0.69666666666666721</v>
      </c>
      <c r="I9" s="15">
        <f t="shared" ref="I9:I10" si="6">POWER(2,-H9)</f>
        <v>0.61699612481203481</v>
      </c>
      <c r="J9" s="22"/>
      <c r="M9" s="4"/>
      <c r="N9" s="4"/>
      <c r="O9" s="4"/>
    </row>
    <row r="10" spans="1:16" s="2" customFormat="1" x14ac:dyDescent="0.2">
      <c r="A10" s="2" t="s">
        <v>67</v>
      </c>
      <c r="B10" t="s">
        <v>4</v>
      </c>
      <c r="C10" s="2">
        <v>17.260000000000002</v>
      </c>
      <c r="D10" s="1">
        <f>AVERAGE(C8:C10)</f>
        <v>17.253333333333334</v>
      </c>
      <c r="E10" s="2">
        <v>30.41</v>
      </c>
      <c r="F10" s="1">
        <f t="shared" si="4"/>
        <v>13.156666666666666</v>
      </c>
      <c r="G10" s="1">
        <f t="shared" si="3"/>
        <v>12.429999999999998</v>
      </c>
      <c r="H10" s="1">
        <f t="shared" si="5"/>
        <v>0.72666666666666835</v>
      </c>
      <c r="I10" s="15">
        <f t="shared" si="6"/>
        <v>0.60429852817338325</v>
      </c>
      <c r="J10" s="22"/>
      <c r="M10" s="4"/>
      <c r="N10" s="4"/>
      <c r="O10" s="4"/>
    </row>
  </sheetData>
  <mergeCells count="1">
    <mergeCell ref="J2:J1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9FE1-D228-42F3-B7B5-E3EC1BA5BAB0}">
  <dimension ref="A1:F19"/>
  <sheetViews>
    <sheetView workbookViewId="0">
      <selection activeCell="H29" sqref="H29"/>
    </sheetView>
  </sheetViews>
  <sheetFormatPr defaultRowHeight="14.25" x14ac:dyDescent="0.2"/>
  <sheetData>
    <row r="1" spans="1:6" s="2" customFormat="1" x14ac:dyDescent="0.2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</row>
    <row r="2" spans="1:6" s="2" customFormat="1" x14ac:dyDescent="0.2">
      <c r="A2" s="2" t="s">
        <v>5</v>
      </c>
      <c r="B2" s="2" t="s">
        <v>6</v>
      </c>
      <c r="C2" s="2">
        <v>29.74</v>
      </c>
      <c r="D2" s="2">
        <v>78.5</v>
      </c>
      <c r="E2" s="2" t="s">
        <v>64</v>
      </c>
      <c r="F2" s="2" t="s">
        <v>33</v>
      </c>
    </row>
    <row r="3" spans="1:6" s="2" customFormat="1" x14ac:dyDescent="0.2">
      <c r="A3" s="2" t="s">
        <v>7</v>
      </c>
      <c r="B3" s="2" t="s">
        <v>6</v>
      </c>
      <c r="C3" s="2">
        <v>29.77</v>
      </c>
      <c r="D3" s="2">
        <v>78.5</v>
      </c>
      <c r="E3" s="2" t="s">
        <v>63</v>
      </c>
      <c r="F3" s="2" t="s">
        <v>33</v>
      </c>
    </row>
    <row r="4" spans="1:6" s="2" customFormat="1" x14ac:dyDescent="0.2">
      <c r="A4" s="2" t="s">
        <v>8</v>
      </c>
      <c r="B4" s="2" t="s">
        <v>6</v>
      </c>
      <c r="C4" s="2">
        <v>29.55</v>
      </c>
      <c r="D4" s="2">
        <v>78.5</v>
      </c>
      <c r="E4" s="2" t="s">
        <v>63</v>
      </c>
      <c r="F4" s="2" t="s">
        <v>33</v>
      </c>
    </row>
    <row r="5" spans="1:6" s="2" customFormat="1" x14ac:dyDescent="0.2">
      <c r="A5" s="2" t="s">
        <v>9</v>
      </c>
      <c r="B5" s="2" t="s">
        <v>6</v>
      </c>
      <c r="C5" s="2">
        <v>30.57</v>
      </c>
      <c r="D5" s="2">
        <v>78.5</v>
      </c>
      <c r="E5" s="2" t="s">
        <v>63</v>
      </c>
      <c r="F5" s="2" t="s">
        <v>66</v>
      </c>
    </row>
    <row r="6" spans="1:6" s="2" customFormat="1" x14ac:dyDescent="0.2">
      <c r="A6" s="2" t="s">
        <v>10</v>
      </c>
      <c r="B6" s="2" t="s">
        <v>6</v>
      </c>
      <c r="C6" s="2">
        <v>30.81</v>
      </c>
      <c r="D6" s="2">
        <v>78.5</v>
      </c>
      <c r="E6" s="2" t="s">
        <v>63</v>
      </c>
      <c r="F6" s="2" t="s">
        <v>66</v>
      </c>
    </row>
    <row r="7" spans="1:6" s="2" customFormat="1" x14ac:dyDescent="0.2">
      <c r="A7" s="2" t="s">
        <v>11</v>
      </c>
      <c r="B7" s="2" t="s">
        <v>6</v>
      </c>
      <c r="C7" s="2">
        <v>30.54</v>
      </c>
      <c r="D7" s="2">
        <v>78.5</v>
      </c>
      <c r="E7" s="2" t="s">
        <v>63</v>
      </c>
      <c r="F7" s="2" t="s">
        <v>66</v>
      </c>
    </row>
    <row r="8" spans="1:6" s="2" customFormat="1" x14ac:dyDescent="0.2">
      <c r="A8" s="2" t="s">
        <v>12</v>
      </c>
      <c r="B8" s="2" t="s">
        <v>6</v>
      </c>
      <c r="C8" s="2">
        <v>30.24</v>
      </c>
      <c r="D8" s="2">
        <v>78.5</v>
      </c>
      <c r="E8" s="2" t="s">
        <v>63</v>
      </c>
      <c r="F8" s="2" t="s">
        <v>67</v>
      </c>
    </row>
    <row r="9" spans="1:6" s="2" customFormat="1" x14ac:dyDescent="0.2">
      <c r="A9" s="2" t="s">
        <v>13</v>
      </c>
      <c r="B9" s="2" t="s">
        <v>6</v>
      </c>
      <c r="C9" s="2">
        <v>30.38</v>
      </c>
      <c r="D9" s="2">
        <v>78.5</v>
      </c>
      <c r="E9" s="2" t="s">
        <v>63</v>
      </c>
      <c r="F9" s="2" t="s">
        <v>67</v>
      </c>
    </row>
    <row r="10" spans="1:6" s="2" customFormat="1" x14ac:dyDescent="0.2">
      <c r="A10" s="2" t="s">
        <v>56</v>
      </c>
      <c r="B10" s="2" t="s">
        <v>6</v>
      </c>
      <c r="C10" s="2">
        <v>30.41</v>
      </c>
      <c r="D10" s="2">
        <v>78.5</v>
      </c>
      <c r="E10" s="2" t="s">
        <v>63</v>
      </c>
      <c r="F10" s="2" t="s">
        <v>67</v>
      </c>
    </row>
    <row r="11" spans="1:6" s="2" customFormat="1" x14ac:dyDescent="0.2">
      <c r="A11" s="2" t="s">
        <v>57</v>
      </c>
      <c r="B11" s="2" t="s">
        <v>6</v>
      </c>
      <c r="C11" s="2">
        <v>17.36</v>
      </c>
      <c r="D11" s="2">
        <v>85.5</v>
      </c>
      <c r="E11" t="s">
        <v>4</v>
      </c>
      <c r="F11" s="2" t="s">
        <v>33</v>
      </c>
    </row>
    <row r="12" spans="1:6" s="2" customFormat="1" x14ac:dyDescent="0.2">
      <c r="A12" s="2" t="s">
        <v>19</v>
      </c>
      <c r="B12" s="2" t="s">
        <v>6</v>
      </c>
      <c r="C12" s="2">
        <v>17.309999999999999</v>
      </c>
      <c r="D12" s="2">
        <v>85.5</v>
      </c>
      <c r="E12" t="s">
        <v>4</v>
      </c>
      <c r="F12" s="2" t="s">
        <v>33</v>
      </c>
    </row>
    <row r="13" spans="1:6" s="2" customFormat="1" x14ac:dyDescent="0.2">
      <c r="A13" s="2" t="s">
        <v>20</v>
      </c>
      <c r="B13" s="2" t="s">
        <v>6</v>
      </c>
      <c r="C13" s="2">
        <v>17.100000000000001</v>
      </c>
      <c r="D13" s="2">
        <v>85.5</v>
      </c>
      <c r="E13" t="s">
        <v>4</v>
      </c>
      <c r="F13" s="2" t="s">
        <v>33</v>
      </c>
    </row>
    <row r="14" spans="1:6" s="2" customFormat="1" x14ac:dyDescent="0.2">
      <c r="A14" s="2" t="s">
        <v>21</v>
      </c>
      <c r="B14" s="2" t="s">
        <v>6</v>
      </c>
      <c r="C14" s="2">
        <v>17.29</v>
      </c>
      <c r="D14" s="2">
        <v>85.5</v>
      </c>
      <c r="E14" t="s">
        <v>4</v>
      </c>
      <c r="F14" s="2" t="s">
        <v>66</v>
      </c>
    </row>
    <row r="15" spans="1:6" s="2" customFormat="1" x14ac:dyDescent="0.2">
      <c r="A15" s="2" t="s">
        <v>22</v>
      </c>
      <c r="B15" s="2" t="s">
        <v>6</v>
      </c>
      <c r="C15" s="2">
        <v>17.29</v>
      </c>
      <c r="D15" s="2">
        <v>85.5</v>
      </c>
      <c r="E15" t="s">
        <v>4</v>
      </c>
      <c r="F15" s="2" t="s">
        <v>66</v>
      </c>
    </row>
    <row r="16" spans="1:6" s="2" customFormat="1" x14ac:dyDescent="0.2">
      <c r="A16" s="2" t="s">
        <v>23</v>
      </c>
      <c r="B16" s="2" t="s">
        <v>6</v>
      </c>
      <c r="C16" s="2">
        <v>17.440000000000001</v>
      </c>
      <c r="D16" s="2">
        <v>85.5</v>
      </c>
      <c r="E16" t="s">
        <v>4</v>
      </c>
      <c r="F16" s="2" t="s">
        <v>66</v>
      </c>
    </row>
    <row r="17" spans="1:6" s="2" customFormat="1" x14ac:dyDescent="0.2">
      <c r="A17" s="2" t="s">
        <v>24</v>
      </c>
      <c r="B17" s="2" t="s">
        <v>6</v>
      </c>
      <c r="C17" s="2">
        <v>17.27</v>
      </c>
      <c r="D17" s="2">
        <v>85.5</v>
      </c>
      <c r="E17" t="s">
        <v>4</v>
      </c>
      <c r="F17" s="2" t="s">
        <v>67</v>
      </c>
    </row>
    <row r="18" spans="1:6" s="2" customFormat="1" x14ac:dyDescent="0.2">
      <c r="A18" s="2" t="s">
        <v>25</v>
      </c>
      <c r="B18" s="2" t="s">
        <v>6</v>
      </c>
      <c r="C18" s="2">
        <v>17.23</v>
      </c>
      <c r="D18" s="2">
        <v>85.5</v>
      </c>
      <c r="E18" t="s">
        <v>4</v>
      </c>
      <c r="F18" s="2" t="s">
        <v>67</v>
      </c>
    </row>
    <row r="19" spans="1:6" s="2" customFormat="1" x14ac:dyDescent="0.2">
      <c r="A19" s="2" t="s">
        <v>26</v>
      </c>
      <c r="B19" s="2" t="s">
        <v>6</v>
      </c>
      <c r="C19" s="2">
        <v>17.260000000000002</v>
      </c>
      <c r="D19" s="2">
        <v>85.5</v>
      </c>
      <c r="E19" t="s">
        <v>4</v>
      </c>
      <c r="F19" s="2" t="s">
        <v>67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BAA0-6D30-4B41-88DB-B0901CDF965B}">
  <dimension ref="A1:R45"/>
  <sheetViews>
    <sheetView zoomScale="90" zoomScaleNormal="90" workbookViewId="0">
      <selection activeCell="I29" sqref="I29"/>
    </sheetView>
  </sheetViews>
  <sheetFormatPr defaultColWidth="9" defaultRowHeight="14.25" x14ac:dyDescent="0.2"/>
  <cols>
    <col min="1" max="1" width="9.625" style="11" bestFit="1" customWidth="1"/>
    <col min="2" max="3" width="9" style="11"/>
    <col min="4" max="4" width="12.75" style="11" bestFit="1" customWidth="1"/>
    <col min="5" max="5" width="12.125" style="11" bestFit="1" customWidth="1"/>
    <col min="6" max="6" width="11.5" style="11" customWidth="1"/>
    <col min="7" max="9" width="9" style="11"/>
    <col min="10" max="10" width="11.5" style="11" bestFit="1" customWidth="1"/>
    <col min="11" max="14" width="9" style="11"/>
    <col min="15" max="15" width="13" style="11" bestFit="1" customWidth="1"/>
    <col min="16" max="18" width="9" style="11"/>
    <col min="19" max="19" width="13" style="11" bestFit="1" customWidth="1"/>
    <col min="20" max="16384" width="9" style="11"/>
  </cols>
  <sheetData>
    <row r="1" spans="1:13" x14ac:dyDescent="0.2">
      <c r="A1" s="11" t="s">
        <v>48</v>
      </c>
      <c r="B1" s="11" t="s">
        <v>38</v>
      </c>
      <c r="C1" s="11" t="s">
        <v>37</v>
      </c>
      <c r="D1" s="2" t="s">
        <v>66</v>
      </c>
      <c r="M1" s="12"/>
    </row>
    <row r="2" spans="1:13" x14ac:dyDescent="0.2">
      <c r="A2" s="11" t="s">
        <v>52</v>
      </c>
      <c r="B2" s="11">
        <v>0.14269999999999999</v>
      </c>
      <c r="C2" s="11">
        <v>0.4556</v>
      </c>
      <c r="D2" s="11">
        <v>0.4667</v>
      </c>
    </row>
    <row r="3" spans="1:13" x14ac:dyDescent="0.2">
      <c r="B3" s="11">
        <v>0.14069999999999999</v>
      </c>
      <c r="C3" s="11">
        <v>0.41320000000000001</v>
      </c>
      <c r="D3" s="11">
        <v>0.43240000000000001</v>
      </c>
    </row>
    <row r="4" spans="1:13" x14ac:dyDescent="0.2">
      <c r="B4" s="11">
        <v>0.1462</v>
      </c>
      <c r="C4" s="11">
        <v>0.4042</v>
      </c>
      <c r="D4" s="11">
        <v>0.4476</v>
      </c>
    </row>
    <row r="5" spans="1:13" x14ac:dyDescent="0.2">
      <c r="B5" s="11">
        <f>AVERAGE(B2:B4)</f>
        <v>0.14319999999999999</v>
      </c>
    </row>
    <row r="6" spans="1:13" x14ac:dyDescent="0.2">
      <c r="A6" s="11" t="s">
        <v>55</v>
      </c>
      <c r="C6" s="11">
        <f t="shared" ref="C6:D8" si="0">C2-$B$5</f>
        <v>0.31240000000000001</v>
      </c>
      <c r="D6" s="11">
        <f t="shared" si="0"/>
        <v>0.32350000000000001</v>
      </c>
    </row>
    <row r="7" spans="1:13" x14ac:dyDescent="0.2">
      <c r="C7" s="11">
        <f t="shared" si="0"/>
        <v>0.27</v>
      </c>
      <c r="D7" s="11">
        <f t="shared" si="0"/>
        <v>0.28920000000000001</v>
      </c>
    </row>
    <row r="8" spans="1:13" x14ac:dyDescent="0.2">
      <c r="C8" s="11">
        <f t="shared" si="0"/>
        <v>0.26100000000000001</v>
      </c>
      <c r="D8" s="11">
        <f t="shared" si="0"/>
        <v>0.3044</v>
      </c>
    </row>
    <row r="10" spans="1:13" x14ac:dyDescent="0.2">
      <c r="A10" s="11" t="s">
        <v>49</v>
      </c>
      <c r="B10" s="11" t="s">
        <v>38</v>
      </c>
      <c r="C10" s="11" t="s">
        <v>37</v>
      </c>
      <c r="D10" s="2" t="s">
        <v>66</v>
      </c>
      <c r="M10" s="12"/>
    </row>
    <row r="11" spans="1:13" x14ac:dyDescent="0.2">
      <c r="A11" s="11" t="s">
        <v>52</v>
      </c>
      <c r="B11" s="11">
        <v>0.1444</v>
      </c>
      <c r="C11" s="11">
        <v>0.74609999999999999</v>
      </c>
      <c r="D11" s="11">
        <v>0.60489999999999999</v>
      </c>
    </row>
    <row r="12" spans="1:13" x14ac:dyDescent="0.2">
      <c r="B12" s="11">
        <v>0.1454</v>
      </c>
      <c r="C12" s="11">
        <v>0.75070000000000003</v>
      </c>
      <c r="D12" s="11">
        <v>0.62539999999999996</v>
      </c>
    </row>
    <row r="13" spans="1:13" x14ac:dyDescent="0.2">
      <c r="B13" s="11">
        <v>0.14080000000000001</v>
      </c>
      <c r="C13" s="11">
        <v>0.73240000000000005</v>
      </c>
      <c r="D13" s="11">
        <v>0.61119999999999997</v>
      </c>
    </row>
    <row r="14" spans="1:13" x14ac:dyDescent="0.2">
      <c r="B14" s="11">
        <f>AVERAGE(B11:B13)</f>
        <v>0.14353333333333332</v>
      </c>
    </row>
    <row r="15" spans="1:13" x14ac:dyDescent="0.2">
      <c r="A15" s="11" t="s">
        <v>55</v>
      </c>
      <c r="C15" s="16">
        <f>C11-$B$14</f>
        <v>0.60256666666666669</v>
      </c>
      <c r="D15" s="16">
        <f>D11-$B$14</f>
        <v>0.4613666666666667</v>
      </c>
    </row>
    <row r="16" spans="1:13" x14ac:dyDescent="0.2">
      <c r="C16" s="16">
        <f t="shared" ref="C16:D17" si="1">C12-$B$14</f>
        <v>0.60716666666666674</v>
      </c>
      <c r="D16" s="16">
        <f t="shared" si="1"/>
        <v>0.48186666666666667</v>
      </c>
    </row>
    <row r="17" spans="1:13" x14ac:dyDescent="0.2">
      <c r="C17" s="16">
        <f t="shared" si="1"/>
        <v>0.58886666666666676</v>
      </c>
      <c r="D17" s="16">
        <f>D13-$B$14</f>
        <v>0.46766666666666667</v>
      </c>
    </row>
    <row r="19" spans="1:13" x14ac:dyDescent="0.2">
      <c r="A19" s="11" t="s">
        <v>50</v>
      </c>
      <c r="B19" s="11" t="s">
        <v>38</v>
      </c>
      <c r="C19" s="11" t="s">
        <v>37</v>
      </c>
      <c r="D19" s="2" t="s">
        <v>66</v>
      </c>
      <c r="M19" s="12"/>
    </row>
    <row r="20" spans="1:13" x14ac:dyDescent="0.2">
      <c r="A20" s="11" t="s">
        <v>52</v>
      </c>
      <c r="B20" s="11">
        <v>0.14360000000000001</v>
      </c>
      <c r="C20" s="11">
        <v>0.94230000000000003</v>
      </c>
      <c r="D20" s="11">
        <v>0.76719999999999999</v>
      </c>
    </row>
    <row r="21" spans="1:13" x14ac:dyDescent="0.2">
      <c r="B21" s="11">
        <v>0.1457</v>
      </c>
      <c r="C21" s="11">
        <v>0.95389999999999997</v>
      </c>
      <c r="D21" s="11">
        <v>0.7329</v>
      </c>
    </row>
    <row r="22" spans="1:13" x14ac:dyDescent="0.2">
      <c r="B22" s="11">
        <v>0.14199999999999999</v>
      </c>
      <c r="C22" s="11">
        <v>0.91539999999999999</v>
      </c>
      <c r="D22" s="11">
        <v>0.75080000000000002</v>
      </c>
    </row>
    <row r="23" spans="1:13" x14ac:dyDescent="0.2">
      <c r="B23" s="11">
        <f>AVERAGE(B20:B22)</f>
        <v>0.14376666666666668</v>
      </c>
    </row>
    <row r="24" spans="1:13" x14ac:dyDescent="0.2">
      <c r="A24" s="11" t="s">
        <v>55</v>
      </c>
      <c r="C24" s="11">
        <f>C20-$B$23</f>
        <v>0.79853333333333332</v>
      </c>
      <c r="D24" s="11">
        <f>D20-$B$23</f>
        <v>0.62343333333333328</v>
      </c>
    </row>
    <row r="25" spans="1:13" x14ac:dyDescent="0.2">
      <c r="C25" s="11">
        <f t="shared" ref="C25:D26" si="2">C21-$B$23</f>
        <v>0.81013333333333326</v>
      </c>
      <c r="D25" s="11">
        <f t="shared" si="2"/>
        <v>0.58913333333333329</v>
      </c>
    </row>
    <row r="26" spans="1:13" x14ac:dyDescent="0.2">
      <c r="C26" s="11">
        <f t="shared" si="2"/>
        <v>0.77163333333333328</v>
      </c>
      <c r="D26" s="11">
        <f t="shared" si="2"/>
        <v>0.60703333333333331</v>
      </c>
    </row>
    <row r="29" spans="1:13" x14ac:dyDescent="0.2">
      <c r="A29" s="11" t="s">
        <v>51</v>
      </c>
      <c r="B29" s="11" t="s">
        <v>38</v>
      </c>
      <c r="C29" s="11" t="s">
        <v>37</v>
      </c>
      <c r="D29" s="2" t="s">
        <v>66</v>
      </c>
      <c r="M29" s="12"/>
    </row>
    <row r="30" spans="1:13" x14ac:dyDescent="0.2">
      <c r="A30" s="11" t="s">
        <v>52</v>
      </c>
      <c r="B30" s="11">
        <v>0.14269999999999999</v>
      </c>
      <c r="C30" s="11">
        <v>1.1454</v>
      </c>
      <c r="D30" s="11">
        <v>0.82679999999999998</v>
      </c>
    </row>
    <row r="31" spans="1:13" x14ac:dyDescent="0.2">
      <c r="B31" s="11">
        <v>0.1401</v>
      </c>
      <c r="C31" s="11">
        <v>1.1232</v>
      </c>
      <c r="D31" s="11">
        <v>0.81289999999999996</v>
      </c>
    </row>
    <row r="32" spans="1:13" x14ac:dyDescent="0.2">
      <c r="B32" s="11">
        <v>0.1477</v>
      </c>
      <c r="C32" s="11">
        <v>1.1313</v>
      </c>
      <c r="D32" s="11">
        <v>0.83150000000000002</v>
      </c>
    </row>
    <row r="33" spans="1:18" x14ac:dyDescent="0.2">
      <c r="B33" s="11">
        <f>AVERAGE(B30:B32)</f>
        <v>0.14349999999999999</v>
      </c>
    </row>
    <row r="34" spans="1:18" x14ac:dyDescent="0.2">
      <c r="A34" s="11" t="s">
        <v>55</v>
      </c>
      <c r="C34" s="16">
        <f>C30-$B$33</f>
        <v>1.0019</v>
      </c>
      <c r="D34" s="16">
        <f>D30-$B$33</f>
        <v>0.68330000000000002</v>
      </c>
    </row>
    <row r="35" spans="1:18" x14ac:dyDescent="0.2">
      <c r="C35" s="16">
        <f t="shared" ref="C35:D36" si="3">C31-$B$33</f>
        <v>0.97970000000000002</v>
      </c>
      <c r="D35" s="16">
        <f t="shared" si="3"/>
        <v>0.6694</v>
      </c>
    </row>
    <row r="36" spans="1:18" x14ac:dyDescent="0.2">
      <c r="C36" s="16">
        <f t="shared" si="3"/>
        <v>0.98780000000000001</v>
      </c>
      <c r="D36" s="16">
        <f t="shared" si="3"/>
        <v>0.68800000000000006</v>
      </c>
    </row>
    <row r="38" spans="1:18" x14ac:dyDescent="0.2">
      <c r="B38" s="11" t="s">
        <v>52</v>
      </c>
      <c r="C38" s="23" t="s">
        <v>37</v>
      </c>
      <c r="D38" s="23"/>
      <c r="E38" s="23"/>
      <c r="F38" s="23" t="s">
        <v>65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8" x14ac:dyDescent="0.2">
      <c r="B39" s="11" t="s">
        <v>48</v>
      </c>
      <c r="C39" s="17">
        <f>C6</f>
        <v>0.31240000000000001</v>
      </c>
      <c r="D39" s="17">
        <f>C7</f>
        <v>0.27</v>
      </c>
      <c r="E39" s="17">
        <f>C8</f>
        <v>0.26100000000000001</v>
      </c>
      <c r="F39" s="17">
        <f>D6</f>
        <v>0.32350000000000001</v>
      </c>
      <c r="G39" s="17">
        <f>D7</f>
        <v>0.28920000000000001</v>
      </c>
      <c r="H39" s="17">
        <f>D8</f>
        <v>0.3044</v>
      </c>
      <c r="I39" s="13"/>
      <c r="J39" s="13"/>
      <c r="K39" s="13"/>
      <c r="L39" s="13"/>
      <c r="M39" s="13"/>
      <c r="N39" s="13"/>
      <c r="O39" s="13"/>
      <c r="P39" s="13"/>
      <c r="Q39" s="13"/>
      <c r="R39" s="14"/>
    </row>
    <row r="40" spans="1:18" x14ac:dyDescent="0.2">
      <c r="B40" s="11" t="s">
        <v>49</v>
      </c>
      <c r="C40" s="17">
        <f>C15</f>
        <v>0.60256666666666669</v>
      </c>
      <c r="D40" s="17">
        <f>C16</f>
        <v>0.60716666666666674</v>
      </c>
      <c r="E40" s="17">
        <f>C17</f>
        <v>0.58886666666666676</v>
      </c>
      <c r="F40" s="17">
        <f>D15</f>
        <v>0.4613666666666667</v>
      </c>
      <c r="G40" s="17">
        <f>D16</f>
        <v>0.48186666666666667</v>
      </c>
      <c r="H40" s="17">
        <f>D17</f>
        <v>0.46766666666666667</v>
      </c>
      <c r="I40" s="13"/>
      <c r="J40" s="13"/>
      <c r="K40" s="13"/>
      <c r="L40" s="13"/>
      <c r="M40" s="13"/>
      <c r="N40" s="13"/>
      <c r="O40" s="13"/>
      <c r="P40" s="13"/>
      <c r="Q40" s="13"/>
      <c r="R40" s="14"/>
    </row>
    <row r="41" spans="1:18" x14ac:dyDescent="0.2">
      <c r="B41" s="11" t="s">
        <v>53</v>
      </c>
      <c r="C41" s="17">
        <f>C24</f>
        <v>0.79853333333333332</v>
      </c>
      <c r="D41" s="17">
        <f>C25</f>
        <v>0.81013333333333326</v>
      </c>
      <c r="E41" s="17">
        <f>C26</f>
        <v>0.77163333333333328</v>
      </c>
      <c r="F41" s="17">
        <f>D24</f>
        <v>0.62343333333333328</v>
      </c>
      <c r="G41" s="17">
        <f>D25</f>
        <v>0.58913333333333329</v>
      </c>
      <c r="H41" s="17">
        <f>D26</f>
        <v>0.60703333333333331</v>
      </c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spans="1:18" x14ac:dyDescent="0.2">
      <c r="B42" s="11" t="s">
        <v>54</v>
      </c>
      <c r="C42" s="17">
        <f>C34</f>
        <v>1.0019</v>
      </c>
      <c r="D42" s="17">
        <f>C35</f>
        <v>0.97970000000000002</v>
      </c>
      <c r="E42" s="17">
        <f>C36</f>
        <v>0.98780000000000001</v>
      </c>
      <c r="F42" s="17">
        <f>D34</f>
        <v>0.68330000000000002</v>
      </c>
      <c r="G42" s="17">
        <f>D35</f>
        <v>0.6694</v>
      </c>
      <c r="H42" s="17">
        <f>D36</f>
        <v>0.68800000000000006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spans="1:18" x14ac:dyDescent="0.2">
      <c r="R43" s="14"/>
    </row>
    <row r="44" spans="1:18" x14ac:dyDescent="0.2">
      <c r="R44" s="14"/>
    </row>
    <row r="45" spans="1:18" x14ac:dyDescent="0.2"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</sheetData>
  <mergeCells count="9">
    <mergeCell ref="O38:Q38"/>
    <mergeCell ref="C45:E45"/>
    <mergeCell ref="F45:H45"/>
    <mergeCell ref="I45:K45"/>
    <mergeCell ref="L45:N45"/>
    <mergeCell ref="C38:E38"/>
    <mergeCell ref="F38:H38"/>
    <mergeCell ref="I38:K38"/>
    <mergeCell ref="L38:N3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4B69-45AE-4932-8584-9BDB83295B75}">
  <dimension ref="A1:M13"/>
  <sheetViews>
    <sheetView zoomScaleNormal="100" workbookViewId="0">
      <selection activeCell="I33" sqref="I33"/>
    </sheetView>
  </sheetViews>
  <sheetFormatPr defaultColWidth="9" defaultRowHeight="14.25" x14ac:dyDescent="0.2"/>
  <cols>
    <col min="1" max="1" width="9" style="6"/>
    <col min="2" max="13" width="7.5" style="6" bestFit="1" customWidth="1"/>
    <col min="14" max="16384" width="9" style="6"/>
  </cols>
  <sheetData>
    <row r="1" spans="1:13" x14ac:dyDescent="0.2">
      <c r="A1" s="21" t="s">
        <v>60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 x14ac:dyDescent="0.2">
      <c r="A2" s="6" t="s">
        <v>39</v>
      </c>
      <c r="B2" s="6">
        <v>4.5100000000000001E-2</v>
      </c>
      <c r="C2" s="6">
        <v>4.4600000000000001E-2</v>
      </c>
      <c r="D2" s="6">
        <v>4.2200000000000001E-2</v>
      </c>
      <c r="E2" s="6">
        <v>4.7199999999999999E-2</v>
      </c>
      <c r="F2" s="6">
        <v>4.0300000000000002E-2</v>
      </c>
      <c r="G2" s="6">
        <v>4.3999999999999997E-2</v>
      </c>
      <c r="H2" s="6">
        <v>4.5999999999999999E-2</v>
      </c>
      <c r="I2" s="6">
        <v>4.58E-2</v>
      </c>
      <c r="J2" s="6">
        <v>4.0399999999999998E-2</v>
      </c>
      <c r="K2" s="6">
        <v>4.2200000000000001E-2</v>
      </c>
      <c r="L2" s="6">
        <v>4.6199999999999998E-2</v>
      </c>
      <c r="M2" s="6">
        <v>4.7899999999999998E-2</v>
      </c>
    </row>
    <row r="3" spans="1:13" x14ac:dyDescent="0.2">
      <c r="A3" s="6" t="s">
        <v>40</v>
      </c>
      <c r="B3" s="6">
        <v>4.4900000000000002E-2</v>
      </c>
      <c r="C3" s="6">
        <v>4.7199999999999999E-2</v>
      </c>
      <c r="D3" s="6">
        <v>4.2799999999999998E-2</v>
      </c>
      <c r="E3" s="7">
        <v>0.14269999999999999</v>
      </c>
      <c r="F3" s="7">
        <v>0.4556</v>
      </c>
      <c r="G3" s="7">
        <v>0.4667</v>
      </c>
      <c r="H3" s="8">
        <v>0.1444</v>
      </c>
      <c r="I3" s="8">
        <v>0.74609999999999999</v>
      </c>
      <c r="J3" s="8">
        <v>0.60489999999999999</v>
      </c>
      <c r="K3" s="6">
        <v>4.1599999999999998E-2</v>
      </c>
      <c r="L3" s="6">
        <v>4.4400000000000002E-2</v>
      </c>
      <c r="M3" s="6">
        <v>4.5199999999999997E-2</v>
      </c>
    </row>
    <row r="4" spans="1:13" x14ac:dyDescent="0.2">
      <c r="A4" s="6" t="s">
        <v>41</v>
      </c>
      <c r="B4" s="6">
        <v>4.5600000000000002E-2</v>
      </c>
      <c r="C4" s="6">
        <v>4.5600000000000002E-2</v>
      </c>
      <c r="D4" s="6">
        <v>4.7899999999999998E-2</v>
      </c>
      <c r="E4" s="7">
        <v>0.14069999999999999</v>
      </c>
      <c r="F4" s="7">
        <v>0.41320000000000001</v>
      </c>
      <c r="G4" s="7">
        <v>0.43240000000000001</v>
      </c>
      <c r="H4" s="8">
        <v>0.1454</v>
      </c>
      <c r="I4" s="8">
        <v>0.75070000000000003</v>
      </c>
      <c r="J4" s="8">
        <v>0.62539999999999996</v>
      </c>
      <c r="K4" s="6">
        <v>4.6199999999999998E-2</v>
      </c>
      <c r="L4" s="6">
        <v>4.4400000000000002E-2</v>
      </c>
      <c r="M4" s="6">
        <v>4.5600000000000002E-2</v>
      </c>
    </row>
    <row r="5" spans="1:13" x14ac:dyDescent="0.2">
      <c r="A5" s="6" t="s">
        <v>42</v>
      </c>
      <c r="B5" s="6">
        <v>4.4499999999999998E-2</v>
      </c>
      <c r="C5" s="6">
        <v>4.2900000000000001E-2</v>
      </c>
      <c r="D5" s="6">
        <v>4.3999999999999997E-2</v>
      </c>
      <c r="E5" s="7">
        <v>0.1462</v>
      </c>
      <c r="F5" s="7">
        <v>0.4042</v>
      </c>
      <c r="G5" s="7">
        <v>0.4476</v>
      </c>
      <c r="H5" s="8">
        <v>0.14080000000000001</v>
      </c>
      <c r="I5" s="8">
        <v>0.73240000000000005</v>
      </c>
      <c r="J5" s="8">
        <v>0.61119999999999997</v>
      </c>
      <c r="K5" s="6">
        <v>4.5999999999999999E-2</v>
      </c>
      <c r="L5" s="6">
        <v>4.6899999999999997E-2</v>
      </c>
      <c r="M5" s="6">
        <v>4.0800000000000003E-2</v>
      </c>
    </row>
    <row r="6" spans="1:13" x14ac:dyDescent="0.2">
      <c r="A6" s="6" t="s">
        <v>43</v>
      </c>
      <c r="B6" s="6">
        <v>4.1200000000000001E-2</v>
      </c>
      <c r="C6" s="6">
        <v>4.6899999999999997E-2</v>
      </c>
      <c r="D6" s="6">
        <v>4.6399999999999997E-2</v>
      </c>
      <c r="E6" s="9">
        <v>0.14360000000000001</v>
      </c>
      <c r="F6" s="9">
        <v>0.94230000000000003</v>
      </c>
      <c r="G6" s="9">
        <v>0.76719999999999999</v>
      </c>
      <c r="H6" s="10">
        <v>0.14269999999999999</v>
      </c>
      <c r="I6" s="10">
        <v>1.1454</v>
      </c>
      <c r="J6" s="10">
        <v>0.82679999999999998</v>
      </c>
      <c r="K6" s="6">
        <v>4.2299999999999997E-2</v>
      </c>
      <c r="L6" s="6">
        <v>4.5999999999999999E-2</v>
      </c>
      <c r="M6" s="6">
        <v>4.5199999999999997E-2</v>
      </c>
    </row>
    <row r="7" spans="1:13" x14ac:dyDescent="0.2">
      <c r="A7" s="6" t="s">
        <v>44</v>
      </c>
      <c r="B7" s="6">
        <v>4.6300000000000001E-2</v>
      </c>
      <c r="C7" s="6">
        <v>4.2000000000000003E-2</v>
      </c>
      <c r="D7" s="6">
        <v>4.1599999999999998E-2</v>
      </c>
      <c r="E7" s="9">
        <v>0.1457</v>
      </c>
      <c r="F7" s="9">
        <v>0.95389999999999997</v>
      </c>
      <c r="G7" s="9">
        <v>0.7329</v>
      </c>
      <c r="H7" s="10">
        <v>0.1401</v>
      </c>
      <c r="I7" s="10">
        <v>1.1232</v>
      </c>
      <c r="J7" s="10">
        <v>0.81289999999999996</v>
      </c>
      <c r="K7" s="6">
        <v>4.3799999999999999E-2</v>
      </c>
      <c r="L7" s="6">
        <v>4.02E-2</v>
      </c>
      <c r="M7" s="6">
        <v>4.0599999999999997E-2</v>
      </c>
    </row>
    <row r="8" spans="1:13" x14ac:dyDescent="0.2">
      <c r="A8" s="6" t="s">
        <v>45</v>
      </c>
      <c r="B8" s="6">
        <v>4.3200000000000002E-2</v>
      </c>
      <c r="C8" s="6">
        <v>4.5999999999999999E-2</v>
      </c>
      <c r="D8" s="6">
        <v>4.3900000000000002E-2</v>
      </c>
      <c r="E8" s="9">
        <v>0.14199999999999999</v>
      </c>
      <c r="F8" s="9">
        <v>0.91539999999999999</v>
      </c>
      <c r="G8" s="9">
        <v>0.75080000000000002</v>
      </c>
      <c r="H8" s="10">
        <v>0.1477</v>
      </c>
      <c r="I8" s="10">
        <v>1.1313</v>
      </c>
      <c r="J8" s="10">
        <v>0.83150000000000002</v>
      </c>
      <c r="K8" s="6">
        <v>4.3499999999999997E-2</v>
      </c>
      <c r="L8" s="6">
        <v>4.3499999999999997E-2</v>
      </c>
      <c r="M8" s="6">
        <v>4.1500000000000002E-2</v>
      </c>
    </row>
    <row r="9" spans="1:13" x14ac:dyDescent="0.2">
      <c r="A9" s="6" t="s">
        <v>46</v>
      </c>
      <c r="B9" s="6">
        <v>4.0599999999999997E-2</v>
      </c>
      <c r="C9" s="6">
        <v>4.48E-2</v>
      </c>
      <c r="D9" s="6">
        <v>4.6100000000000002E-2</v>
      </c>
      <c r="E9" s="6">
        <v>4.4400000000000002E-2</v>
      </c>
      <c r="F9" s="6">
        <v>4.6199999999999998E-2</v>
      </c>
      <c r="G9" s="6">
        <v>4.65E-2</v>
      </c>
      <c r="H9" s="6">
        <v>4.6600000000000003E-2</v>
      </c>
      <c r="I9" s="6">
        <v>4.0099999999999997E-2</v>
      </c>
      <c r="J9" s="6">
        <v>4.5400000000000003E-2</v>
      </c>
      <c r="K9" s="6">
        <v>4.3999999999999997E-2</v>
      </c>
      <c r="L9" s="6">
        <v>4.3999999999999997E-2</v>
      </c>
      <c r="M9" s="6">
        <v>4.6399999999999997E-2</v>
      </c>
    </row>
    <row r="11" spans="1:13" x14ac:dyDescent="0.2">
      <c r="E11" s="6" t="s">
        <v>47</v>
      </c>
      <c r="F11" s="6" t="s">
        <v>33</v>
      </c>
      <c r="G11" s="2" t="s">
        <v>66</v>
      </c>
      <c r="H11" s="6" t="s">
        <v>47</v>
      </c>
      <c r="I11" s="6" t="s">
        <v>33</v>
      </c>
      <c r="J11" s="2" t="s">
        <v>66</v>
      </c>
    </row>
    <row r="12" spans="1:13" x14ac:dyDescent="0.2">
      <c r="E12" s="24" t="s">
        <v>48</v>
      </c>
      <c r="F12" s="24"/>
      <c r="G12" s="24"/>
      <c r="H12" s="24" t="s">
        <v>49</v>
      </c>
      <c r="I12" s="24"/>
      <c r="J12" s="24"/>
    </row>
    <row r="13" spans="1:13" x14ac:dyDescent="0.2">
      <c r="E13" s="24" t="s">
        <v>50</v>
      </c>
      <c r="F13" s="24"/>
      <c r="G13" s="24"/>
      <c r="H13" s="24" t="s">
        <v>51</v>
      </c>
      <c r="I13" s="24"/>
      <c r="J13" s="24"/>
    </row>
  </sheetData>
  <mergeCells count="4">
    <mergeCell ref="E12:G12"/>
    <mergeCell ref="H12:J12"/>
    <mergeCell ref="E13:G13"/>
    <mergeCell ref="H13:J1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511F-C8E4-4E24-A2E3-45964B8EB239}">
  <dimension ref="A1:R45"/>
  <sheetViews>
    <sheetView zoomScale="90" zoomScaleNormal="90" workbookViewId="0">
      <selection activeCell="K43" sqref="K43"/>
    </sheetView>
  </sheetViews>
  <sheetFormatPr defaultColWidth="9" defaultRowHeight="14.25" x14ac:dyDescent="0.2"/>
  <cols>
    <col min="1" max="1" width="9.625" style="11" bestFit="1" customWidth="1"/>
    <col min="2" max="3" width="9" style="11"/>
    <col min="4" max="4" width="12.75" style="11" bestFit="1" customWidth="1"/>
    <col min="5" max="5" width="12.125" style="11" bestFit="1" customWidth="1"/>
    <col min="6" max="6" width="11.5" style="11" customWidth="1"/>
    <col min="7" max="9" width="9" style="11"/>
    <col min="10" max="10" width="11.5" style="11" bestFit="1" customWidth="1"/>
    <col min="11" max="14" width="9" style="11"/>
    <col min="15" max="15" width="13" style="11" bestFit="1" customWidth="1"/>
    <col min="16" max="18" width="9" style="11"/>
    <col min="19" max="19" width="13" style="11" bestFit="1" customWidth="1"/>
    <col min="20" max="16384" width="9" style="11"/>
  </cols>
  <sheetData>
    <row r="1" spans="1:13" x14ac:dyDescent="0.2">
      <c r="A1" s="11" t="s">
        <v>48</v>
      </c>
      <c r="B1" s="11" t="s">
        <v>38</v>
      </c>
      <c r="C1" s="11" t="s">
        <v>37</v>
      </c>
      <c r="D1" s="2" t="s">
        <v>66</v>
      </c>
      <c r="M1" s="12"/>
    </row>
    <row r="2" spans="1:13" x14ac:dyDescent="0.2">
      <c r="A2" s="11" t="s">
        <v>52</v>
      </c>
      <c r="B2" s="11">
        <v>0.14510000000000001</v>
      </c>
      <c r="C2" s="11">
        <v>0.37669999999999998</v>
      </c>
      <c r="D2" s="11">
        <v>0.35210000000000002</v>
      </c>
    </row>
    <row r="3" spans="1:13" x14ac:dyDescent="0.2">
      <c r="B3" s="11">
        <v>0.1452</v>
      </c>
      <c r="C3" s="11">
        <v>0.3644</v>
      </c>
      <c r="D3" s="11">
        <v>0.37030000000000002</v>
      </c>
    </row>
    <row r="4" spans="1:13" x14ac:dyDescent="0.2">
      <c r="B4" s="11">
        <v>0.14199999999999999</v>
      </c>
      <c r="C4" s="11">
        <v>0.34560000000000002</v>
      </c>
      <c r="D4" s="11">
        <v>0.3332</v>
      </c>
    </row>
    <row r="5" spans="1:13" x14ac:dyDescent="0.2">
      <c r="B5" s="11">
        <f>AVERAGE(B2:B4)</f>
        <v>0.14410000000000001</v>
      </c>
    </row>
    <row r="6" spans="1:13" x14ac:dyDescent="0.2">
      <c r="A6" s="11" t="s">
        <v>55</v>
      </c>
      <c r="C6" s="11">
        <f t="shared" ref="C6:D8" si="0">C2-$B$5</f>
        <v>0.23259999999999997</v>
      </c>
      <c r="D6" s="11">
        <f t="shared" si="0"/>
        <v>0.20800000000000002</v>
      </c>
    </row>
    <row r="7" spans="1:13" x14ac:dyDescent="0.2">
      <c r="C7" s="11">
        <f t="shared" si="0"/>
        <v>0.2203</v>
      </c>
      <c r="D7" s="11">
        <f t="shared" si="0"/>
        <v>0.22620000000000001</v>
      </c>
    </row>
    <row r="8" spans="1:13" x14ac:dyDescent="0.2">
      <c r="C8" s="11">
        <f t="shared" si="0"/>
        <v>0.20150000000000001</v>
      </c>
      <c r="D8" s="11">
        <f t="shared" si="0"/>
        <v>0.18909999999999999</v>
      </c>
    </row>
    <row r="10" spans="1:13" x14ac:dyDescent="0.2">
      <c r="A10" s="11" t="s">
        <v>49</v>
      </c>
      <c r="B10" s="11" t="s">
        <v>38</v>
      </c>
      <c r="C10" s="11" t="s">
        <v>37</v>
      </c>
      <c r="D10" s="2" t="s">
        <v>66</v>
      </c>
      <c r="M10" s="12"/>
    </row>
    <row r="11" spans="1:13" x14ac:dyDescent="0.2">
      <c r="A11" s="11" t="s">
        <v>52</v>
      </c>
      <c r="B11" s="11">
        <v>0.14699999999999999</v>
      </c>
      <c r="C11" s="11">
        <v>0.61539999999999995</v>
      </c>
      <c r="D11" s="11">
        <v>0.48680000000000001</v>
      </c>
    </row>
    <row r="12" spans="1:13" x14ac:dyDescent="0.2">
      <c r="B12" s="11">
        <v>0.1431</v>
      </c>
      <c r="C12" s="11">
        <v>0.59089999999999998</v>
      </c>
      <c r="D12" s="11">
        <v>0.47120000000000001</v>
      </c>
    </row>
    <row r="13" spans="1:13" x14ac:dyDescent="0.2">
      <c r="B13" s="11">
        <v>0.14449999999999999</v>
      </c>
      <c r="C13" s="11">
        <v>0.61439999999999995</v>
      </c>
      <c r="D13" s="11">
        <v>0.49419999999999997</v>
      </c>
    </row>
    <row r="14" spans="1:13" x14ac:dyDescent="0.2">
      <c r="B14" s="11">
        <f>AVERAGE(B11:B13)</f>
        <v>0.14486666666666667</v>
      </c>
    </row>
    <row r="15" spans="1:13" x14ac:dyDescent="0.2">
      <c r="A15" s="11" t="s">
        <v>55</v>
      </c>
      <c r="C15" s="16">
        <f>C11-$B$14</f>
        <v>0.47053333333333325</v>
      </c>
      <c r="D15" s="16">
        <f>D11-$B$14</f>
        <v>0.34193333333333331</v>
      </c>
    </row>
    <row r="16" spans="1:13" x14ac:dyDescent="0.2">
      <c r="C16" s="16">
        <f t="shared" ref="C16:D17" si="1">C12-$B$14</f>
        <v>0.44603333333333328</v>
      </c>
      <c r="D16" s="16">
        <f t="shared" si="1"/>
        <v>0.32633333333333336</v>
      </c>
    </row>
    <row r="17" spans="1:13" x14ac:dyDescent="0.2">
      <c r="C17" s="16">
        <f t="shared" si="1"/>
        <v>0.46953333333333325</v>
      </c>
      <c r="D17" s="16">
        <f>D13-$B$14</f>
        <v>0.34933333333333327</v>
      </c>
    </row>
    <row r="19" spans="1:13" x14ac:dyDescent="0.2">
      <c r="A19" s="11" t="s">
        <v>50</v>
      </c>
      <c r="B19" s="11" t="s">
        <v>38</v>
      </c>
      <c r="C19" s="11" t="s">
        <v>37</v>
      </c>
      <c r="D19" s="2" t="s">
        <v>66</v>
      </c>
      <c r="M19" s="12"/>
    </row>
    <row r="20" spans="1:13" x14ac:dyDescent="0.2">
      <c r="A20" s="11" t="s">
        <v>52</v>
      </c>
      <c r="B20" s="11">
        <v>0.14419999999999999</v>
      </c>
      <c r="C20" s="11">
        <v>0.86040000000000005</v>
      </c>
      <c r="D20" s="11">
        <v>0.61309999999999998</v>
      </c>
    </row>
    <row r="21" spans="1:13" x14ac:dyDescent="0.2">
      <c r="B21" s="11">
        <v>0.14460000000000001</v>
      </c>
      <c r="C21" s="11">
        <v>0.84430000000000005</v>
      </c>
      <c r="D21" s="11">
        <v>0.6321</v>
      </c>
    </row>
    <row r="22" spans="1:13" x14ac:dyDescent="0.2">
      <c r="B22" s="11">
        <v>0.14449999999999999</v>
      </c>
      <c r="C22" s="11">
        <v>0.85319999999999996</v>
      </c>
      <c r="D22" s="11">
        <v>0.61529999999999996</v>
      </c>
    </row>
    <row r="23" spans="1:13" x14ac:dyDescent="0.2">
      <c r="B23" s="11">
        <f>AVERAGE(B20:B22)</f>
        <v>0.14443333333333333</v>
      </c>
    </row>
    <row r="24" spans="1:13" x14ac:dyDescent="0.2">
      <c r="A24" s="11" t="s">
        <v>55</v>
      </c>
      <c r="C24" s="11">
        <f>C20-$B$23</f>
        <v>0.71596666666666675</v>
      </c>
      <c r="D24" s="11">
        <f>D20-$B$23</f>
        <v>0.46866666666666668</v>
      </c>
    </row>
    <row r="25" spans="1:13" x14ac:dyDescent="0.2">
      <c r="C25" s="11">
        <f t="shared" ref="C25:D26" si="2">C21-$B$23</f>
        <v>0.69986666666666675</v>
      </c>
      <c r="D25" s="11">
        <f t="shared" si="2"/>
        <v>0.48766666666666669</v>
      </c>
    </row>
    <row r="26" spans="1:13" x14ac:dyDescent="0.2">
      <c r="C26" s="11">
        <f t="shared" si="2"/>
        <v>0.70876666666666666</v>
      </c>
      <c r="D26" s="11">
        <f t="shared" si="2"/>
        <v>0.47086666666666666</v>
      </c>
    </row>
    <row r="29" spans="1:13" x14ac:dyDescent="0.2">
      <c r="A29" s="11" t="s">
        <v>51</v>
      </c>
      <c r="B29" s="11" t="s">
        <v>38</v>
      </c>
      <c r="C29" s="11" t="s">
        <v>37</v>
      </c>
      <c r="D29" s="2" t="s">
        <v>66</v>
      </c>
      <c r="M29" s="12"/>
    </row>
    <row r="30" spans="1:13" x14ac:dyDescent="0.2">
      <c r="A30" s="11" t="s">
        <v>52</v>
      </c>
      <c r="B30" s="11">
        <v>0.1414</v>
      </c>
      <c r="C30" s="11">
        <v>1.1456</v>
      </c>
      <c r="D30" s="11">
        <v>0.75549999999999995</v>
      </c>
    </row>
    <row r="31" spans="1:13" x14ac:dyDescent="0.2">
      <c r="B31" s="11">
        <v>0.14119999999999999</v>
      </c>
      <c r="C31" s="11">
        <v>1.1268</v>
      </c>
      <c r="D31" s="11">
        <v>0.73540000000000005</v>
      </c>
    </row>
    <row r="32" spans="1:13" x14ac:dyDescent="0.2">
      <c r="B32" s="11">
        <v>0.1447</v>
      </c>
      <c r="C32" s="11">
        <v>1.1105</v>
      </c>
      <c r="D32" s="11">
        <v>0.76490000000000002</v>
      </c>
    </row>
    <row r="33" spans="1:18" x14ac:dyDescent="0.2">
      <c r="B33" s="11">
        <f>AVERAGE(B30:B32)</f>
        <v>0.14243333333333333</v>
      </c>
    </row>
    <row r="34" spans="1:18" x14ac:dyDescent="0.2">
      <c r="A34" s="11" t="s">
        <v>55</v>
      </c>
      <c r="C34" s="16">
        <f>C30-$B$33</f>
        <v>1.0031666666666665</v>
      </c>
      <c r="D34" s="16">
        <f>D30-$B$33</f>
        <v>0.61306666666666665</v>
      </c>
    </row>
    <row r="35" spans="1:18" x14ac:dyDescent="0.2">
      <c r="C35" s="16">
        <f t="shared" ref="C35:D36" si="3">C31-$B$33</f>
        <v>0.98436666666666672</v>
      </c>
      <c r="D35" s="16">
        <f t="shared" si="3"/>
        <v>0.59296666666666675</v>
      </c>
    </row>
    <row r="36" spans="1:18" x14ac:dyDescent="0.2">
      <c r="C36" s="16">
        <f t="shared" si="3"/>
        <v>0.96806666666666674</v>
      </c>
      <c r="D36" s="16">
        <f t="shared" si="3"/>
        <v>0.62246666666666672</v>
      </c>
    </row>
    <row r="38" spans="1:18" x14ac:dyDescent="0.2">
      <c r="B38" s="11" t="s">
        <v>52</v>
      </c>
      <c r="C38" s="23" t="s">
        <v>37</v>
      </c>
      <c r="D38" s="23"/>
      <c r="E38" s="23"/>
      <c r="F38" s="23" t="s">
        <v>65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spans="1:18" x14ac:dyDescent="0.2">
      <c r="B39" s="11" t="s">
        <v>48</v>
      </c>
      <c r="C39" s="17">
        <f>C6</f>
        <v>0.23259999999999997</v>
      </c>
      <c r="D39" s="17">
        <f>C7</f>
        <v>0.2203</v>
      </c>
      <c r="E39" s="17">
        <f>C8</f>
        <v>0.20150000000000001</v>
      </c>
      <c r="F39" s="17">
        <f>D6</f>
        <v>0.20800000000000002</v>
      </c>
      <c r="G39" s="17">
        <f>D7</f>
        <v>0.22620000000000001</v>
      </c>
      <c r="H39" s="17">
        <f>D8</f>
        <v>0.18909999999999999</v>
      </c>
      <c r="I39" s="13"/>
      <c r="J39" s="13"/>
      <c r="K39" s="13"/>
      <c r="L39" s="13"/>
      <c r="M39" s="13"/>
      <c r="N39" s="13"/>
      <c r="O39" s="13"/>
      <c r="P39" s="13"/>
      <c r="Q39" s="13"/>
      <c r="R39" s="14"/>
    </row>
    <row r="40" spans="1:18" x14ac:dyDescent="0.2">
      <c r="B40" s="11" t="s">
        <v>49</v>
      </c>
      <c r="C40" s="17">
        <f>C15</f>
        <v>0.47053333333333325</v>
      </c>
      <c r="D40" s="17">
        <f>C16</f>
        <v>0.44603333333333328</v>
      </c>
      <c r="E40" s="17">
        <f>C17</f>
        <v>0.46953333333333325</v>
      </c>
      <c r="F40" s="17">
        <f>D15</f>
        <v>0.34193333333333331</v>
      </c>
      <c r="G40" s="17">
        <f>D16</f>
        <v>0.32633333333333336</v>
      </c>
      <c r="H40" s="17">
        <f>D17</f>
        <v>0.34933333333333327</v>
      </c>
      <c r="I40" s="13"/>
      <c r="J40" s="13"/>
      <c r="K40" s="13"/>
      <c r="L40" s="13"/>
      <c r="M40" s="13"/>
      <c r="N40" s="13"/>
      <c r="O40" s="13"/>
      <c r="P40" s="13"/>
      <c r="Q40" s="13"/>
      <c r="R40" s="14"/>
    </row>
    <row r="41" spans="1:18" x14ac:dyDescent="0.2">
      <c r="B41" s="11" t="s">
        <v>53</v>
      </c>
      <c r="C41" s="17">
        <f>C24</f>
        <v>0.71596666666666675</v>
      </c>
      <c r="D41" s="17">
        <f>C25</f>
        <v>0.69986666666666675</v>
      </c>
      <c r="E41" s="17">
        <f>C26</f>
        <v>0.70876666666666666</v>
      </c>
      <c r="F41" s="17">
        <f>D24</f>
        <v>0.46866666666666668</v>
      </c>
      <c r="G41" s="17">
        <f>D25</f>
        <v>0.48766666666666669</v>
      </c>
      <c r="H41" s="17">
        <f>D26</f>
        <v>0.47086666666666666</v>
      </c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spans="1:18" x14ac:dyDescent="0.2">
      <c r="B42" s="11" t="s">
        <v>54</v>
      </c>
      <c r="C42" s="17">
        <f>C34</f>
        <v>1.0031666666666665</v>
      </c>
      <c r="D42" s="17">
        <f>C35</f>
        <v>0.98436666666666672</v>
      </c>
      <c r="E42" s="17">
        <f>C36</f>
        <v>0.96806666666666674</v>
      </c>
      <c r="F42" s="17">
        <f>D34</f>
        <v>0.61306666666666665</v>
      </c>
      <c r="G42" s="17">
        <f>D35</f>
        <v>0.59296666666666675</v>
      </c>
      <c r="H42" s="17">
        <f>D36</f>
        <v>0.62246666666666672</v>
      </c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spans="1:18" x14ac:dyDescent="0.2">
      <c r="R43" s="14"/>
    </row>
    <row r="44" spans="1:18" x14ac:dyDescent="0.2">
      <c r="R44" s="14"/>
    </row>
    <row r="45" spans="1:18" x14ac:dyDescent="0.2"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</row>
  </sheetData>
  <mergeCells count="9">
    <mergeCell ref="O38:Q38"/>
    <mergeCell ref="C45:E45"/>
    <mergeCell ref="F45:H45"/>
    <mergeCell ref="I45:K45"/>
    <mergeCell ref="L45:N45"/>
    <mergeCell ref="C38:E38"/>
    <mergeCell ref="F38:H38"/>
    <mergeCell ref="I38:K38"/>
    <mergeCell ref="L38:N3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563C-28BB-4EE6-A625-D2E65014A2CA}">
  <dimension ref="A1:M13"/>
  <sheetViews>
    <sheetView zoomScaleNormal="100" workbookViewId="0">
      <selection activeCell="L23" sqref="L23"/>
    </sheetView>
  </sheetViews>
  <sheetFormatPr defaultColWidth="9" defaultRowHeight="14.25" x14ac:dyDescent="0.2"/>
  <cols>
    <col min="1" max="1" width="9" style="6"/>
    <col min="2" max="13" width="7.5" style="6" bestFit="1" customWidth="1"/>
    <col min="14" max="16384" width="9" style="6"/>
  </cols>
  <sheetData>
    <row r="1" spans="1:13" x14ac:dyDescent="0.2">
      <c r="A1" s="2" t="s">
        <v>62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</row>
    <row r="2" spans="1:13" x14ac:dyDescent="0.2">
      <c r="A2" s="6" t="s">
        <v>39</v>
      </c>
      <c r="B2" s="6">
        <v>4.19E-2</v>
      </c>
      <c r="C2" s="6">
        <v>4.53E-2</v>
      </c>
      <c r="D2" s="6">
        <v>4.3200000000000002E-2</v>
      </c>
      <c r="E2" s="6">
        <v>4.2700000000000002E-2</v>
      </c>
      <c r="F2" s="6">
        <v>4.5699999999999998E-2</v>
      </c>
      <c r="G2" s="6">
        <v>4.2000000000000003E-2</v>
      </c>
      <c r="H2" s="6">
        <v>4.6199999999999998E-2</v>
      </c>
      <c r="I2" s="6">
        <v>4.2799999999999998E-2</v>
      </c>
      <c r="J2" s="6">
        <v>4.5100000000000001E-2</v>
      </c>
      <c r="K2" s="6">
        <v>4.5199999999999997E-2</v>
      </c>
      <c r="L2" s="6">
        <v>4.2500000000000003E-2</v>
      </c>
      <c r="M2" s="6">
        <v>4.0800000000000003E-2</v>
      </c>
    </row>
    <row r="3" spans="1:13" x14ac:dyDescent="0.2">
      <c r="A3" s="6" t="s">
        <v>40</v>
      </c>
      <c r="B3" s="6">
        <v>4.5999999999999999E-2</v>
      </c>
      <c r="C3" s="6">
        <v>4.0399999999999998E-2</v>
      </c>
      <c r="D3" s="6">
        <v>4.5999999999999999E-2</v>
      </c>
      <c r="E3" s="7">
        <v>0.14510000000000001</v>
      </c>
      <c r="F3" s="7">
        <v>0.37669999999999998</v>
      </c>
      <c r="G3" s="7">
        <v>0.35210000000000002</v>
      </c>
      <c r="H3" s="8">
        <v>0.14699999999999999</v>
      </c>
      <c r="I3" s="8">
        <v>0.61539999999999995</v>
      </c>
      <c r="J3" s="8">
        <v>0.48680000000000001</v>
      </c>
      <c r="K3" s="6">
        <v>4.2900000000000001E-2</v>
      </c>
      <c r="L3" s="6">
        <v>0.04</v>
      </c>
      <c r="M3" s="6">
        <v>4.1599999999999998E-2</v>
      </c>
    </row>
    <row r="4" spans="1:13" x14ac:dyDescent="0.2">
      <c r="A4" s="6" t="s">
        <v>41</v>
      </c>
      <c r="B4" s="6">
        <v>4.7300000000000002E-2</v>
      </c>
      <c r="C4" s="6">
        <v>4.53E-2</v>
      </c>
      <c r="D4" s="6">
        <v>0.04</v>
      </c>
      <c r="E4" s="7">
        <v>0.1452</v>
      </c>
      <c r="F4" s="7">
        <v>0.3644</v>
      </c>
      <c r="G4" s="7">
        <v>0.37030000000000002</v>
      </c>
      <c r="H4" s="8">
        <v>0.1431</v>
      </c>
      <c r="I4" s="8">
        <v>0.59089999999999998</v>
      </c>
      <c r="J4" s="8">
        <v>0.47120000000000001</v>
      </c>
      <c r="K4" s="6">
        <v>4.1000000000000002E-2</v>
      </c>
      <c r="L4" s="6">
        <v>4.6800000000000001E-2</v>
      </c>
      <c r="M4" s="6">
        <v>4.7199999999999999E-2</v>
      </c>
    </row>
    <row r="5" spans="1:13" x14ac:dyDescent="0.2">
      <c r="A5" s="6" t="s">
        <v>42</v>
      </c>
      <c r="B5" s="6">
        <v>4.6699999999999998E-2</v>
      </c>
      <c r="C5" s="6">
        <v>4.2000000000000003E-2</v>
      </c>
      <c r="D5" s="6">
        <v>0.04</v>
      </c>
      <c r="E5" s="7">
        <v>0.14199999999999999</v>
      </c>
      <c r="F5" s="7">
        <v>0.34560000000000002</v>
      </c>
      <c r="G5" s="7">
        <v>0.3332</v>
      </c>
      <c r="H5" s="8">
        <v>0.14449999999999999</v>
      </c>
      <c r="I5" s="8">
        <v>0.61439999999999995</v>
      </c>
      <c r="J5" s="8">
        <v>0.49419999999999997</v>
      </c>
      <c r="K5" s="6">
        <v>4.0800000000000003E-2</v>
      </c>
      <c r="L5" s="6">
        <v>4.07E-2</v>
      </c>
      <c r="M5" s="6">
        <v>4.3999999999999997E-2</v>
      </c>
    </row>
    <row r="6" spans="1:13" x14ac:dyDescent="0.2">
      <c r="A6" s="6" t="s">
        <v>43</v>
      </c>
      <c r="B6" s="6">
        <v>4.2200000000000001E-2</v>
      </c>
      <c r="C6" s="6">
        <v>4.2900000000000001E-2</v>
      </c>
      <c r="D6" s="6">
        <v>4.2700000000000002E-2</v>
      </c>
      <c r="E6" s="9">
        <v>0.14419999999999999</v>
      </c>
      <c r="F6" s="9">
        <v>0.86040000000000005</v>
      </c>
      <c r="G6" s="9">
        <v>0.61309999999999998</v>
      </c>
      <c r="H6" s="10">
        <v>0.1414</v>
      </c>
      <c r="I6" s="10">
        <v>1.1456</v>
      </c>
      <c r="J6" s="10">
        <v>0.75549999999999995</v>
      </c>
      <c r="K6" s="6">
        <v>4.3999999999999997E-2</v>
      </c>
      <c r="L6" s="6">
        <v>4.6100000000000002E-2</v>
      </c>
      <c r="M6" s="6">
        <v>4.6699999999999998E-2</v>
      </c>
    </row>
    <row r="7" spans="1:13" x14ac:dyDescent="0.2">
      <c r="A7" s="6" t="s">
        <v>44</v>
      </c>
      <c r="B7" s="6">
        <v>4.2900000000000001E-2</v>
      </c>
      <c r="C7" s="6">
        <v>4.0800000000000003E-2</v>
      </c>
      <c r="D7" s="6">
        <v>4.36E-2</v>
      </c>
      <c r="E7" s="9">
        <v>0.14460000000000001</v>
      </c>
      <c r="F7" s="9">
        <v>0.84430000000000005</v>
      </c>
      <c r="G7" s="9">
        <v>0.6321</v>
      </c>
      <c r="H7" s="10">
        <v>0.14119999999999999</v>
      </c>
      <c r="I7" s="10">
        <v>1.1268</v>
      </c>
      <c r="J7" s="10">
        <v>0.73540000000000005</v>
      </c>
      <c r="K7" s="6">
        <v>4.5999999999999999E-2</v>
      </c>
      <c r="L7" s="6">
        <v>4.6800000000000001E-2</v>
      </c>
      <c r="M7" s="6">
        <v>4.6899999999999997E-2</v>
      </c>
    </row>
    <row r="8" spans="1:13" x14ac:dyDescent="0.2">
      <c r="A8" s="6" t="s">
        <v>45</v>
      </c>
      <c r="B8" s="6">
        <v>4.6399999999999997E-2</v>
      </c>
      <c r="C8" s="6">
        <v>4.7199999999999999E-2</v>
      </c>
      <c r="D8" s="6">
        <v>4.1399999999999999E-2</v>
      </c>
      <c r="E8" s="9">
        <v>0.14449999999999999</v>
      </c>
      <c r="F8" s="9">
        <v>0.85319999999999996</v>
      </c>
      <c r="G8" s="9">
        <v>0.61529999999999996</v>
      </c>
      <c r="H8" s="10">
        <v>0.1447</v>
      </c>
      <c r="I8" s="10">
        <v>1.1105</v>
      </c>
      <c r="J8" s="10">
        <v>0.76490000000000002</v>
      </c>
      <c r="K8" s="6">
        <v>4.1599999999999998E-2</v>
      </c>
      <c r="L8" s="6">
        <v>4.6800000000000001E-2</v>
      </c>
      <c r="M8" s="6">
        <v>4.4600000000000001E-2</v>
      </c>
    </row>
    <row r="9" spans="1:13" x14ac:dyDescent="0.2">
      <c r="A9" s="6" t="s">
        <v>46</v>
      </c>
      <c r="B9" s="6">
        <v>4.19E-2</v>
      </c>
      <c r="C9" s="6">
        <v>4.2799999999999998E-2</v>
      </c>
      <c r="D9" s="6">
        <v>4.1200000000000001E-2</v>
      </c>
      <c r="E9" s="6">
        <v>4.2799999999999998E-2</v>
      </c>
      <c r="F9" s="6">
        <v>4.0599999999999997E-2</v>
      </c>
      <c r="G9" s="6">
        <v>4.0599999999999997E-2</v>
      </c>
      <c r="H9" s="6">
        <v>4.1000000000000002E-2</v>
      </c>
      <c r="I9" s="6">
        <v>4.2000000000000003E-2</v>
      </c>
      <c r="J9" s="6">
        <v>4.3099999999999999E-2</v>
      </c>
      <c r="K9" s="6">
        <v>0.04</v>
      </c>
      <c r="L9" s="6">
        <v>4.0800000000000003E-2</v>
      </c>
      <c r="M9" s="6">
        <v>4.58E-2</v>
      </c>
    </row>
    <row r="11" spans="1:13" x14ac:dyDescent="0.2">
      <c r="E11" s="6" t="s">
        <v>38</v>
      </c>
      <c r="F11" s="6" t="s">
        <v>37</v>
      </c>
      <c r="G11" s="2" t="s">
        <v>66</v>
      </c>
      <c r="H11" s="6" t="s">
        <v>38</v>
      </c>
      <c r="I11" s="6" t="s">
        <v>37</v>
      </c>
      <c r="J11" s="2" t="s">
        <v>66</v>
      </c>
    </row>
    <row r="12" spans="1:13" x14ac:dyDescent="0.2">
      <c r="E12" s="24" t="s">
        <v>48</v>
      </c>
      <c r="F12" s="24"/>
      <c r="G12" s="24"/>
      <c r="H12" s="24" t="s">
        <v>49</v>
      </c>
      <c r="I12" s="24"/>
      <c r="J12" s="24"/>
    </row>
    <row r="13" spans="1:13" x14ac:dyDescent="0.2">
      <c r="E13" s="24" t="s">
        <v>50</v>
      </c>
      <c r="F13" s="24"/>
      <c r="G13" s="24"/>
      <c r="H13" s="24" t="s">
        <v>51</v>
      </c>
      <c r="I13" s="24"/>
      <c r="J13" s="24"/>
    </row>
  </sheetData>
  <mergeCells count="4">
    <mergeCell ref="E12:G12"/>
    <mergeCell ref="H12:J12"/>
    <mergeCell ref="E13:G13"/>
    <mergeCell ref="H13:J1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F05F-C550-4AC2-86C6-B602196EAFCF}">
  <dimension ref="A1:M8"/>
  <sheetViews>
    <sheetView workbookViewId="0">
      <selection activeCell="I25" sqref="I25"/>
    </sheetView>
  </sheetViews>
  <sheetFormatPr defaultRowHeight="14.25" x14ac:dyDescent="0.2"/>
  <cols>
    <col min="6" max="6" width="13.125" bestFit="1" customWidth="1"/>
  </cols>
  <sheetData>
    <row r="1" spans="1:13" x14ac:dyDescent="0.2">
      <c r="A1" t="s">
        <v>33</v>
      </c>
      <c r="B1" t="s">
        <v>35</v>
      </c>
      <c r="D1" t="s">
        <v>36</v>
      </c>
      <c r="F1" s="2" t="s">
        <v>66</v>
      </c>
      <c r="G1" t="s">
        <v>35</v>
      </c>
      <c r="I1" t="s">
        <v>36</v>
      </c>
    </row>
    <row r="2" spans="1:13" x14ac:dyDescent="0.2">
      <c r="A2">
        <v>1</v>
      </c>
      <c r="B2">
        <v>747879</v>
      </c>
      <c r="C2">
        <f>AVERAGE(B2:B4)</f>
        <v>702156.33333333337</v>
      </c>
      <c r="F2">
        <v>1</v>
      </c>
      <c r="G2">
        <v>768107</v>
      </c>
      <c r="H2">
        <f>G2/G2</f>
        <v>1</v>
      </c>
      <c r="J2">
        <f>AVERAGE(G2:G4)</f>
        <v>740096.33333333337</v>
      </c>
    </row>
    <row r="3" spans="1:13" x14ac:dyDescent="0.2">
      <c r="A3">
        <v>1</v>
      </c>
      <c r="B3">
        <v>633031</v>
      </c>
      <c r="F3">
        <v>1</v>
      </c>
      <c r="G3">
        <v>692503</v>
      </c>
      <c r="H3">
        <f t="shared" ref="H3:H4" si="0">G3/G3</f>
        <v>1</v>
      </c>
    </row>
    <row r="4" spans="1:13" x14ac:dyDescent="0.2">
      <c r="A4">
        <v>1</v>
      </c>
      <c r="B4">
        <v>725559</v>
      </c>
      <c r="F4">
        <v>1</v>
      </c>
      <c r="G4">
        <v>759679</v>
      </c>
      <c r="H4">
        <f t="shared" si="0"/>
        <v>1</v>
      </c>
    </row>
    <row r="5" spans="1:13" x14ac:dyDescent="0.2">
      <c r="A5">
        <v>1</v>
      </c>
      <c r="B5">
        <v>488534</v>
      </c>
      <c r="C5" s="5">
        <f>B5/C2</f>
        <v>0.69576243467148102</v>
      </c>
      <c r="D5" s="18">
        <f>1-C5</f>
        <v>0.30423756532851898</v>
      </c>
      <c r="F5">
        <v>1</v>
      </c>
      <c r="G5">
        <v>576347</v>
      </c>
      <c r="H5" s="5">
        <f>G5/J2</f>
        <v>0.77874592001311538</v>
      </c>
      <c r="I5" s="18">
        <f>1-H5</f>
        <v>0.22125407998688462</v>
      </c>
    </row>
    <row r="6" spans="1:13" x14ac:dyDescent="0.2">
      <c r="A6">
        <v>1</v>
      </c>
      <c r="B6">
        <v>493509</v>
      </c>
      <c r="C6" s="5">
        <f>B6/C2</f>
        <v>0.70284775137920374</v>
      </c>
      <c r="D6" s="18">
        <f t="shared" ref="D6:D7" si="1">1-C6</f>
        <v>0.29715224862079626</v>
      </c>
      <c r="F6">
        <v>1</v>
      </c>
      <c r="G6">
        <v>599415</v>
      </c>
      <c r="H6" s="5">
        <f>G6/J2</f>
        <v>0.80991483541106579</v>
      </c>
      <c r="I6" s="18">
        <f t="shared" ref="I6:I7" si="2">1-H6</f>
        <v>0.19008516458893421</v>
      </c>
    </row>
    <row r="7" spans="1:13" x14ac:dyDescent="0.2">
      <c r="A7">
        <v>1</v>
      </c>
      <c r="B7">
        <v>434678</v>
      </c>
      <c r="C7" s="5">
        <f>B7/C2</f>
        <v>0.61906156701095527</v>
      </c>
      <c r="D7" s="18">
        <f t="shared" si="1"/>
        <v>0.38093843298904473</v>
      </c>
      <c r="F7">
        <v>1</v>
      </c>
      <c r="G7">
        <v>634853</v>
      </c>
      <c r="H7" s="5">
        <f>G7/J2</f>
        <v>0.85779779118844435</v>
      </c>
      <c r="I7" s="18">
        <f t="shared" si="2"/>
        <v>0.14220220881155565</v>
      </c>
    </row>
    <row r="8" spans="1:13" x14ac:dyDescent="0.2">
      <c r="M8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157-B98D-4847-B267-54B063ED369E}">
  <dimension ref="A1:E4"/>
  <sheetViews>
    <sheetView workbookViewId="0">
      <selection activeCell="O20" sqref="O20"/>
    </sheetView>
  </sheetViews>
  <sheetFormatPr defaultRowHeight="14.25" x14ac:dyDescent="0.2"/>
  <cols>
    <col min="1" max="1" width="11.75" bestFit="1" customWidth="1"/>
    <col min="4" max="4" width="13.125" bestFit="1" customWidth="1"/>
  </cols>
  <sheetData>
    <row r="1" spans="1:5" x14ac:dyDescent="0.2">
      <c r="A1" s="21" t="s">
        <v>60</v>
      </c>
      <c r="C1" s="3" t="s">
        <v>33</v>
      </c>
      <c r="D1" s="2" t="s">
        <v>66</v>
      </c>
      <c r="E1" s="3"/>
    </row>
    <row r="2" spans="1:5" x14ac:dyDescent="0.2">
      <c r="B2" s="3" t="s">
        <v>34</v>
      </c>
      <c r="C2" s="19">
        <v>522</v>
      </c>
      <c r="D2" s="19">
        <v>209</v>
      </c>
      <c r="E2" s="3"/>
    </row>
    <row r="3" spans="1:5" x14ac:dyDescent="0.2">
      <c r="B3" s="3"/>
      <c r="C3" s="19">
        <v>511</v>
      </c>
      <c r="D3" s="19">
        <v>179</v>
      </c>
      <c r="E3" s="3"/>
    </row>
    <row r="4" spans="1:5" x14ac:dyDescent="0.2">
      <c r="B4" s="3"/>
      <c r="C4" s="19">
        <v>513</v>
      </c>
      <c r="D4" s="19">
        <v>240</v>
      </c>
      <c r="E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E9ED-48CA-403C-9273-D8B2A2E82ECC}">
  <dimension ref="A1:M8"/>
  <sheetViews>
    <sheetView workbookViewId="0">
      <selection activeCell="G19" sqref="G19"/>
    </sheetView>
  </sheetViews>
  <sheetFormatPr defaultRowHeight="14.25" x14ac:dyDescent="0.2"/>
  <cols>
    <col min="6" max="6" width="13.125" bestFit="1" customWidth="1"/>
  </cols>
  <sheetData>
    <row r="1" spans="1:13" x14ac:dyDescent="0.2">
      <c r="A1" t="s">
        <v>33</v>
      </c>
      <c r="B1" t="s">
        <v>35</v>
      </c>
      <c r="D1" t="s">
        <v>36</v>
      </c>
      <c r="F1" s="2" t="s">
        <v>66</v>
      </c>
      <c r="G1" t="s">
        <v>35</v>
      </c>
      <c r="I1" t="s">
        <v>36</v>
      </c>
    </row>
    <row r="2" spans="1:13" x14ac:dyDescent="0.2">
      <c r="A2">
        <v>1</v>
      </c>
      <c r="B2">
        <v>895937</v>
      </c>
      <c r="C2">
        <f>AVERAGE(B2:B4)</f>
        <v>918439.33333333337</v>
      </c>
      <c r="F2">
        <v>1</v>
      </c>
      <c r="G2">
        <v>904878</v>
      </c>
      <c r="H2">
        <f>G2/G2</f>
        <v>1</v>
      </c>
      <c r="J2">
        <f>AVERAGE(G2:G4)</f>
        <v>925534.66666666663</v>
      </c>
    </row>
    <row r="3" spans="1:13" x14ac:dyDescent="0.2">
      <c r="A3">
        <v>1</v>
      </c>
      <c r="B3">
        <v>912084</v>
      </c>
      <c r="F3">
        <v>1</v>
      </c>
      <c r="G3">
        <v>867420</v>
      </c>
      <c r="H3">
        <f t="shared" ref="H3:H4" si="0">G3/G3</f>
        <v>1</v>
      </c>
    </row>
    <row r="4" spans="1:13" x14ac:dyDescent="0.2">
      <c r="A4">
        <v>1</v>
      </c>
      <c r="B4">
        <v>947297</v>
      </c>
      <c r="F4">
        <v>1</v>
      </c>
      <c r="G4">
        <v>1004306</v>
      </c>
      <c r="H4">
        <f t="shared" si="0"/>
        <v>1</v>
      </c>
    </row>
    <row r="5" spans="1:13" x14ac:dyDescent="0.2">
      <c r="A5">
        <v>1</v>
      </c>
      <c r="B5">
        <v>729132</v>
      </c>
      <c r="C5" s="5">
        <f>B5/C2</f>
        <v>0.79388150478456565</v>
      </c>
      <c r="D5" s="18">
        <f>1-C5</f>
        <v>0.20611849521543435</v>
      </c>
      <c r="F5">
        <v>1</v>
      </c>
      <c r="G5">
        <v>845695</v>
      </c>
      <c r="H5" s="5">
        <f>G5/J2</f>
        <v>0.91373670858357914</v>
      </c>
      <c r="I5" s="18">
        <f>1-H5</f>
        <v>8.6263291416420862E-2</v>
      </c>
    </row>
    <row r="6" spans="1:13" x14ac:dyDescent="0.2">
      <c r="A6">
        <v>1</v>
      </c>
      <c r="B6">
        <v>650078</v>
      </c>
      <c r="C6" s="5">
        <f>B6/C2</f>
        <v>0.70780722951035047</v>
      </c>
      <c r="D6" s="18">
        <f t="shared" ref="D6:D7" si="1">1-C6</f>
        <v>0.29219277048964953</v>
      </c>
      <c r="F6">
        <v>1</v>
      </c>
      <c r="G6">
        <v>790232</v>
      </c>
      <c r="H6" s="5">
        <f>G6/J2</f>
        <v>0.85381134652258661</v>
      </c>
      <c r="I6" s="18">
        <f t="shared" ref="I6:I7" si="2">1-H6</f>
        <v>0.14618865347741339</v>
      </c>
    </row>
    <row r="7" spans="1:13" x14ac:dyDescent="0.2">
      <c r="A7">
        <v>1</v>
      </c>
      <c r="B7">
        <v>623135</v>
      </c>
      <c r="C7" s="5">
        <f>B7/C2</f>
        <v>0.67847159565610937</v>
      </c>
      <c r="D7" s="18">
        <f t="shared" si="1"/>
        <v>0.32152840434389063</v>
      </c>
      <c r="F7">
        <v>1</v>
      </c>
      <c r="G7">
        <v>809332</v>
      </c>
      <c r="H7" s="5">
        <f>G7/J2</f>
        <v>0.87444806677509657</v>
      </c>
      <c r="I7" s="18">
        <f t="shared" si="2"/>
        <v>0.12555193322490343</v>
      </c>
    </row>
    <row r="8" spans="1:13" x14ac:dyDescent="0.2">
      <c r="M8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9F85-158D-4B0A-BE50-CFE1741ADCDD}">
  <dimension ref="A1:E4"/>
  <sheetViews>
    <sheetView tabSelected="1" workbookViewId="0">
      <selection activeCell="H14" sqref="H14"/>
    </sheetView>
  </sheetViews>
  <sheetFormatPr defaultRowHeight="14.25" x14ac:dyDescent="0.2"/>
  <cols>
    <col min="4" max="4" width="13.125" bestFit="1" customWidth="1"/>
  </cols>
  <sheetData>
    <row r="1" spans="1:5" x14ac:dyDescent="0.2">
      <c r="A1" s="2" t="s">
        <v>68</v>
      </c>
      <c r="C1" s="3" t="s">
        <v>33</v>
      </c>
      <c r="D1" s="2" t="s">
        <v>66</v>
      </c>
      <c r="E1" s="3"/>
    </row>
    <row r="2" spans="1:5" x14ac:dyDescent="0.2">
      <c r="B2" s="3" t="s">
        <v>34</v>
      </c>
      <c r="C2" s="19">
        <v>253</v>
      </c>
      <c r="D2" s="19">
        <v>86</v>
      </c>
      <c r="E2" s="3"/>
    </row>
    <row r="3" spans="1:5" x14ac:dyDescent="0.2">
      <c r="B3" s="3"/>
      <c r="C3" s="19">
        <v>306</v>
      </c>
      <c r="D3" s="19">
        <v>98</v>
      </c>
      <c r="E3" s="3"/>
    </row>
    <row r="4" spans="1:5" x14ac:dyDescent="0.2">
      <c r="B4" s="3"/>
      <c r="C4" s="19">
        <v>319</v>
      </c>
      <c r="D4" s="19">
        <v>113</v>
      </c>
      <c r="E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result_7A</vt:lpstr>
      <vt:lpstr>raw data_7A</vt:lpstr>
      <vt:lpstr>result_7B</vt:lpstr>
      <vt:lpstr>raw data_7B</vt:lpstr>
      <vt:lpstr>result_7C</vt:lpstr>
      <vt:lpstr>raw data_7C</vt:lpstr>
      <vt:lpstr>CCK8 result_7D</vt:lpstr>
      <vt:lpstr>CCK8 raw data_7D</vt:lpstr>
      <vt:lpstr>CCK8 result_7E</vt:lpstr>
      <vt:lpstr>CCK8 raw data_7E</vt:lpstr>
      <vt:lpstr>wound_7F</vt:lpstr>
      <vt:lpstr>invasion_7G</vt:lpstr>
      <vt:lpstr>wound_7H</vt:lpstr>
      <vt:lpstr>invasion_7I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2025-08-14T05:09:39Z</dcterms:modified>
</cp:coreProperties>
</file>